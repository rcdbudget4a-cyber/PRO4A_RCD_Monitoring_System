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FERENCE\Desktop\KIPO WIPO RETIREES\"/>
    </mc:Choice>
  </mc:AlternateContent>
  <xr:revisionPtr revIDLastSave="0" documentId="13_ncr:1_{F2B2AFBE-075F-4074-8ABC-25E155DE42C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mpulsory 2024" sheetId="1" state="hidden" r:id="rId1"/>
    <sheet name="Compulsory 2026" sheetId="10" r:id="rId2"/>
  </sheets>
  <definedNames>
    <definedName name="_xlnm._FilterDatabase" localSheetId="0" hidden="1">'Compulsory 2024'!$C$10:$C$10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C60" i="1" l="1"/>
  <c r="D53" i="1" l="1"/>
  <c r="D66" i="1" l="1"/>
  <c r="C68" i="1"/>
  <c r="B68" i="1"/>
  <c r="D64" i="1"/>
  <c r="D49" i="1"/>
  <c r="D50" i="1"/>
  <c r="D51" i="1"/>
  <c r="D52" i="1"/>
  <c r="D55" i="1"/>
  <c r="D68" i="1" l="1"/>
  <c r="D60" i="1"/>
</calcChain>
</file>

<file path=xl/sharedStrings.xml><?xml version="1.0" encoding="utf-8"?>
<sst xmlns="http://schemas.openxmlformats.org/spreadsheetml/2006/main" count="331" uniqueCount="197">
  <si>
    <t>No.</t>
  </si>
  <si>
    <t>Name</t>
  </si>
  <si>
    <t>Date of Retirement</t>
  </si>
  <si>
    <t>Type of Claim</t>
  </si>
  <si>
    <t>Remarks</t>
  </si>
  <si>
    <t>CAL</t>
  </si>
  <si>
    <t>Lump Sum</t>
  </si>
  <si>
    <t>Complete Requirements</t>
  </si>
  <si>
    <t xml:space="preserve">Month </t>
  </si>
  <si>
    <t>Complete Requirements and Submitted to PRBS</t>
  </si>
  <si>
    <t>With Lackings Requirements</t>
  </si>
  <si>
    <t>May</t>
  </si>
  <si>
    <t>June</t>
  </si>
  <si>
    <t>July</t>
  </si>
  <si>
    <t>Total</t>
  </si>
  <si>
    <t>Jan</t>
  </si>
  <si>
    <t>Feb</t>
  </si>
  <si>
    <t>Mar</t>
  </si>
  <si>
    <t>Apr</t>
  </si>
  <si>
    <t>Aug</t>
  </si>
  <si>
    <t>Sept</t>
  </si>
  <si>
    <t>Oct</t>
  </si>
  <si>
    <t>Nov</t>
  </si>
  <si>
    <t>Dec</t>
  </si>
  <si>
    <t>.</t>
  </si>
  <si>
    <t>PLT IAN ALBERT GATCHALIAN VOLUNTAD</t>
  </si>
  <si>
    <t>PEMS Fabian Ocampo Camitan</t>
  </si>
  <si>
    <t>PSMS Romulo Agbas Ramile Jr</t>
  </si>
  <si>
    <t>PEMS Lourdito Adoreno Albacea</t>
  </si>
  <si>
    <t>PEMS Leandro Vivas Dela Vega</t>
  </si>
  <si>
    <t>PSMS Carlo Flaviano Bacsa Quiban</t>
  </si>
  <si>
    <t>PLTCOL ELIOT ESPIRITU EUSEBIO</t>
  </si>
  <si>
    <t>PSMS Ruel Montero Durado</t>
  </si>
  <si>
    <t>PSMS Michael Maronilla Mañas</t>
  </si>
  <si>
    <t>PEMS Eric Ocampo Ambojia</t>
  </si>
  <si>
    <t>PLTCOL RUBEN MARTE PIQUERO</t>
  </si>
  <si>
    <t>PCPT GERONIMO REYES MANALO</t>
  </si>
  <si>
    <t>PCMS Reynaldo Bacaycay Ebalde</t>
  </si>
  <si>
    <t>PSMS Isabelo Armamento Plata</t>
  </si>
  <si>
    <t>PSSg Ginalyn Nierva Coloma</t>
  </si>
  <si>
    <t>PSSg Jeanne Arcibal Madrid</t>
  </si>
  <si>
    <t>PCPT FELIXBERTO CABRERA CABUNGCAL JR</t>
  </si>
  <si>
    <t>PEMS Ariel Lorenzo Poblete</t>
  </si>
  <si>
    <t>PEMS Leonardo Lucero Flores</t>
  </si>
  <si>
    <t>PCMS Roger Chan Montemar</t>
  </si>
  <si>
    <t>PSMS Romar Talagtag Tagalog</t>
  </si>
  <si>
    <t>PCpl Ciriaco Ayaay Padua</t>
  </si>
  <si>
    <t>PEMS Allan Dominguez Espiritu</t>
  </si>
  <si>
    <t>PEMS Julian Saliejo Cuenca</t>
  </si>
  <si>
    <t>PSMS Reginald Pedregal Pulutan</t>
  </si>
  <si>
    <t>PLTCOL EDUARDO DE LUNA BALITA</t>
  </si>
  <si>
    <t>PSMS Renato Amparo Abalos</t>
  </si>
  <si>
    <t>PLT Sonia Dinglasan Cueto</t>
  </si>
  <si>
    <t>PEMS Nixon Semira Ilagan</t>
  </si>
  <si>
    <t>PCMS Jowel Ilagan Cantoria</t>
  </si>
  <si>
    <t xml:space="preserve">PSMS Melinda Cabais Jader </t>
  </si>
  <si>
    <t xml:space="preserve">CAL and Lumpsum Folders forwarded to PRBS dtd  Nov 23, 2023                                       </t>
  </si>
  <si>
    <t>CAL and Lumpsum Folders forwarded to PRBS dtd  Aug 29, 2023</t>
  </si>
  <si>
    <t>CAL and Lumpsum Folders forwarded to PRBS dtd  Nov 23, 2023</t>
  </si>
  <si>
    <t>PSMS Mario Alcantara Sadili</t>
  </si>
  <si>
    <t>PMSg Hobart Dalmacion Masiglat</t>
  </si>
  <si>
    <t xml:space="preserve">PCPT NESTORIO PURI MERCADO </t>
  </si>
  <si>
    <t>PEMS  Rosalia Sallejo Talape</t>
  </si>
  <si>
    <t>PEMS Antolin Belleza Valera Jr</t>
  </si>
  <si>
    <t>1st</t>
  </si>
  <si>
    <t>Quarter</t>
  </si>
  <si>
    <t>2nd</t>
  </si>
  <si>
    <t>3rd</t>
  </si>
  <si>
    <t>4th</t>
  </si>
  <si>
    <t>TOTAL</t>
  </si>
  <si>
    <t>Total No. of Compulsory Retirees CY 2024</t>
  </si>
  <si>
    <t xml:space="preserve">CAL Folder submitted on Nov 9, 2023 and LUMPSUM folder submitted to PRBS on Dec 28, 2023 </t>
  </si>
  <si>
    <t xml:space="preserve">  </t>
  </si>
  <si>
    <t>CAL and Lumpsum Folders forwarded to PRBS dtd  January 8, 2024</t>
  </si>
  <si>
    <t>CAL Claims  forwarded to PRBS dtd  February 21, 2024/Lumpsum and Outright pension not yet Submmitted</t>
  </si>
  <si>
    <t>PPO Clearance</t>
  </si>
  <si>
    <t>PEMS Michael Aureada Maranan</t>
  </si>
  <si>
    <t>PEMS Edmar Tuzon Fabricante</t>
  </si>
  <si>
    <t>Already submitted his folder on PRBS dated March 7, 2024</t>
  </si>
  <si>
    <t xml:space="preserve"> </t>
  </si>
  <si>
    <t>CAL and Lumpsum Folders forwarded to PRBS dtd  March 11, 2024</t>
  </si>
  <si>
    <t>The retiree secured his clearance except his Ombudsman clearance. Said PCO stated that he submitted his CAL Claims Folder  on September 2,2023 at PRBS</t>
  </si>
  <si>
    <t>PSSg  Rixhon Bairth  Laurente</t>
  </si>
  <si>
    <t>DC Clearance</t>
  </si>
  <si>
    <t>Already submitted his folder  to PRBS dated March 25, 2024</t>
  </si>
  <si>
    <t>Submitted Folder of Cal at PRBU on March 8, 2024,Lumpsum not Yet Submitted</t>
  </si>
  <si>
    <t>Already submitted his folder on PRBS dated April 23, 2024</t>
  </si>
  <si>
    <t>CAL Claims Forwarded  to PBRS dated April 8, 2024/Lumpsum not yet submitted</t>
  </si>
  <si>
    <t>CAL Claims and Lumpsum Folders forwarded to PRBS dtd  January 16, 2024</t>
  </si>
  <si>
    <t>CAL Claims and Lumpsum Folders forwarded to PRBS dtd May 24, 2024</t>
  </si>
  <si>
    <t xml:space="preserve">                                                  </t>
  </si>
  <si>
    <t>CAL Folder submitted on June 7, 2024 and LUMPSUM folder submitted to PRBS on June 6, 2024</t>
  </si>
  <si>
    <t xml:space="preserve">CAL Laims Already forwarded toPRBS dtd April 30, 2024/Lumpsum folder forwarded to PRBS June 4, 2024 </t>
  </si>
  <si>
    <t>CAL Claims Forwarded to PBRS dtd June 6, 2024and Lumpsum Folders forwarded to PRBS dtd  June 6, 2024</t>
  </si>
  <si>
    <t>CAL Claims Forwarded to PBRS dtd June 24, 2024and Lumpsum Folders forwarded to PRBS dtd  June 21, 2024</t>
  </si>
  <si>
    <t>CAL forwarded to PRBS dtd  Oct 18, 2023/LumpSum forwarded to PRBS dtd Sept 7, 2023</t>
  </si>
  <si>
    <t>CAL Claims Forwarded to PBRS dtd June 28, 2024and Lumpsum Folders forwarded to PRBS dtd  July 1, 2024</t>
  </si>
  <si>
    <t>CAL Claims Forwarded to PRBS dtd June 6, 2024/Lumpsum Forwarded dto PRBS dtd June 13, 2024</t>
  </si>
  <si>
    <t>PEMS Carlito Marqueses Mutia</t>
  </si>
  <si>
    <t xml:space="preserve">CAL claims Already forwarded to PRBS dtd May 8, 2024/Lumpsum folder forwarded to PRBS June 28, 2024 </t>
  </si>
  <si>
    <t>-</t>
  </si>
  <si>
    <t xml:space="preserve"> CAL requirements were  already  submitted to  PRBs dated July 11, 2024.  Lump Sum requirements were  submitted to PRBS dated July 11, 2024.</t>
  </si>
  <si>
    <t xml:space="preserve"> CAL requirements were  already  submitted to  PRBs dated June 21, 2024.  Lump Sum requirements were  submitted to PRBS dated June 21, 2024.</t>
  </si>
  <si>
    <t xml:space="preserve"> CAL requirements were  already  submitted to  PRBs dated August 6, 2024.  Lump Sum requirements were  submitted to PRBS dated July 31, 2024.</t>
  </si>
  <si>
    <t xml:space="preserve"> CAL requirements were  already  submitted to  PRBs dated September 4, 2024.  Lump Sum requirements were  submitted to PRBS dated September 4, 2024.</t>
  </si>
  <si>
    <t>CAL requirements were already submitted to PRBS dated September 5, 2024</t>
  </si>
  <si>
    <t>Submitted folders for CAL  at PRBS on August 29, 2024,  Lumpsum submitted on September 6, 2024</t>
  </si>
  <si>
    <t xml:space="preserve"> CAL requirements were  already  submitted to  PRBs dated August 6, 2024.  Lump Sum requirements were  submitted to PRBS dated August 6, 2024.</t>
  </si>
  <si>
    <t xml:space="preserve">CAL requirements already submitted at PRBS dated September 10, 2024 </t>
  </si>
  <si>
    <t xml:space="preserve"> CAL Requirements were already submitted  to PRBS dated September 23, 2024 &amp; Lumpsum  Septmber 23, 2024 at PRBS</t>
  </si>
  <si>
    <t xml:space="preserve"> CAL  Folder &amp; Outright  last Septmber 23, 2024 at PRBS</t>
  </si>
  <si>
    <t xml:space="preserve">CAL CLaims Already forwarded toPRBS dtd June 4, 2024/Lumpsum folder forwarded to PRBS June 28, 2024 </t>
  </si>
  <si>
    <t xml:space="preserve"> CAL  Folder submitted to PRBS last September 23, 2024/Lump Sum Claims submitted to PRBS dated  September 23, 2024.</t>
  </si>
  <si>
    <t xml:space="preserve"> CAL requirements were  already  submitted to  PRBs dated October 4, 2024.  Outright pension were  submitted to PRBS dated October 4, 2024.</t>
  </si>
  <si>
    <t>Already submitted his CAL folder PRBS on September 11, 2024. Lump Sum Folder Already Submitted to PRBU dated October 21, 2024</t>
  </si>
  <si>
    <t xml:space="preserve">   </t>
  </si>
  <si>
    <t>CAL Requirements Forwarded to PRBS 4A dated December 17, 2024</t>
  </si>
  <si>
    <t>CAL Requirements Forwarded to PRBS 4A dated December 23, 2024</t>
  </si>
  <si>
    <t>PMSg Asher Acquiatan Rosales</t>
  </si>
  <si>
    <t>Already submitted his CAL folder on November 11, 2024 &amp; OUTRIGHT folder on November 27, 2024 at PRBS.</t>
  </si>
  <si>
    <t xml:space="preserve"> CAL requirements were  already  submitted to  PRBs dated Nov 22, 2024.  Lump Sum requirements were  submitted to PRBS dated Nov 22, 2024.</t>
  </si>
  <si>
    <r>
      <t xml:space="preserve">PRO 4A Compulsory Retirees of January to Decemeber CY 2024 with Lacking Requirements
</t>
    </r>
    <r>
      <rPr>
        <b/>
        <sz val="12"/>
        <color rgb="FFFF0000"/>
        <rFont val="Arial"/>
        <family val="2"/>
      </rPr>
      <t>As of January 10, 2025</t>
    </r>
  </si>
  <si>
    <r>
      <t xml:space="preserve">RECAP
</t>
    </r>
    <r>
      <rPr>
        <b/>
        <sz val="11"/>
        <color rgb="FFFF0000"/>
        <rFont val="Arial"/>
        <family val="2"/>
      </rPr>
      <t>As of January 10, 2025</t>
    </r>
  </si>
  <si>
    <t xml:space="preserve">Waiting for the release of clearance </t>
  </si>
  <si>
    <t>PLTCOL RADAM REYES RAMOS</t>
  </si>
  <si>
    <t>PCPT ALLAN ESTRECHO DESEMBRANA</t>
  </si>
  <si>
    <t>PLT FELICIDAD KATIPUNAN CORNEJO</t>
  </si>
  <si>
    <t>PSMS Merlito Pineda Maraquilla</t>
  </si>
  <si>
    <t>PMSg Romeo Moriente Mojica</t>
  </si>
  <si>
    <t>PCPT RODIRIC AQUINO SANVICTORES</t>
  </si>
  <si>
    <t>PLT FERDINAND PEÑASCOSAS LARROSA</t>
  </si>
  <si>
    <t>PCPT REYNANTE GARCIA DE CHAVEZ</t>
  </si>
  <si>
    <t>PLT NELSON VILLANUEVA FLORES</t>
  </si>
  <si>
    <t>PSMS Richard Fermil</t>
  </si>
  <si>
    <t>PLT RUEL MARTINEZ CANTOS</t>
  </si>
  <si>
    <t>NUP Felicidad Alpuerto Febrer</t>
  </si>
  <si>
    <t>NUP Gary Abad Garbino</t>
  </si>
  <si>
    <t>PEMS Gregorio Casalme Maunahan</t>
  </si>
  <si>
    <t>PCpl Candido Bascara Arobinto</t>
  </si>
  <si>
    <t>PEMS Gregorio Gonzales Cuevas</t>
  </si>
  <si>
    <t>PEMS Benedict Mabao Dela Cruz</t>
  </si>
  <si>
    <t>PEMS Lyndel Curia Inolpe</t>
  </si>
  <si>
    <t>PEMS Wenefredo Labaclado Jacla</t>
  </si>
  <si>
    <t>PEMS Ronaldo Laguerta Abadilla</t>
  </si>
  <si>
    <t>PSMS Ricky Manzanero Gonzales</t>
  </si>
  <si>
    <t>PSSg Edilberto Reposo Hilvano</t>
  </si>
  <si>
    <t>Pat Donald Silva Moratalla</t>
  </si>
  <si>
    <t>PLT RIZALINA GARRA MANALO</t>
  </si>
  <si>
    <t>PCMS Galo Abelardo Dapat Beraña</t>
  </si>
  <si>
    <t>PMAJ EDGAR FERRER FABREGAS</t>
  </si>
  <si>
    <t>PSSg Rogelio Doniña Garin</t>
  </si>
  <si>
    <t>PSMS Garry Cruzat Guerra</t>
  </si>
  <si>
    <t>PMAJ JULIO GURRA DOGTA</t>
  </si>
  <si>
    <t>PLT RANDY LAGUNSIN DELIM</t>
  </si>
  <si>
    <t>PLT EDGARDO MALABANAN MANARIN</t>
  </si>
  <si>
    <t>PEMS Paquito Enriquez Chan</t>
  </si>
  <si>
    <t>PSMS Herminio Eugenio Mauricio</t>
  </si>
  <si>
    <t>PSMS Maximo Hugo Villoso, Jr</t>
  </si>
  <si>
    <t>PLT TEODORO LABITAG PADUA</t>
  </si>
  <si>
    <t>PLT FLORENCIO RUANTO SARMIENTO</t>
  </si>
  <si>
    <t>PEMS Edgardo Cablao Gallardo</t>
  </si>
  <si>
    <t>Complete</t>
  </si>
  <si>
    <t>Under BOS</t>
  </si>
  <si>
    <t>DL Clearance</t>
  </si>
  <si>
    <t>PPO CLearance
RSAO Clearance
DC Clearance
DL Clearance
OMBUDSMAN Clearance</t>
  </si>
  <si>
    <t xml:space="preserve">CAL Claims  Forwarded to PRBU 4A dated January 8, 2026 </t>
  </si>
  <si>
    <t>CAL Claims and Lump-Sum Claims Already forwarded  to PRBU 4A  on February 18, 2026</t>
  </si>
  <si>
    <t>CAL Claims Forwarded to PRBU 4A dated October 29, 2025</t>
  </si>
  <si>
    <t>CAL Claims and Lump-Sum Claims Already forwarded  to PRBU 4A on February 27, 2026</t>
  </si>
  <si>
    <t>CAL Claims and Lump-Sum Claims Already forwarded  to PRBU 4A  on May 5, 2026</t>
  </si>
  <si>
    <t>CAL and Outright Pension Already forwarded  to PRBU 4A  on April 22, 2026</t>
  </si>
  <si>
    <t>CAL and LUMPSUM Already forwarded  to PRBU 4A  on February 27, 2026</t>
  </si>
  <si>
    <t>CAL and LUMPSUM Already forwarded  to PRBU 4A  on February 2, 2026</t>
  </si>
  <si>
    <t xml:space="preserve">CAL Claims and Lump-Sum Claims  Forwarded to PRBU 4A dated March 11, 2026 </t>
  </si>
  <si>
    <t xml:space="preserve">CAL Claims and Lump-Sum Claims Forwarded to PRBU 4A dated February 6, 2026 </t>
  </si>
  <si>
    <t>CAL Claims and Outright Already forwarded  to PRBU 4A  on April 7, 2026</t>
  </si>
  <si>
    <t>CAL Claims and Lump-Sum Claims Already forwarded  to PRBU 4A  on January 19, 2025</t>
  </si>
  <si>
    <t>CAL Claims and Lump-Sum Claims Already forwarded  to PRBU 4A on November 25, 2026</t>
  </si>
  <si>
    <t>CAL Claims and Lump-Sum Claims Already forwarded  to PRBU 4A  on February 27, 2026</t>
  </si>
  <si>
    <t xml:space="preserve">Said PCO submitted his CAL Claims and Lump-Sum  Claims  Forwarded to last December 5, 2025. </t>
  </si>
  <si>
    <t>CAL Claims andLump-Sum Claims Already forwarded  to PRBU 4A on Jan 30, 2026</t>
  </si>
  <si>
    <t>CAL Claims and Lump-Sum Claims Already forwarded  to PRBU 4A  on November 22,  2025</t>
  </si>
  <si>
    <t xml:space="preserve">Said PNCO uploaded his requirements  last August 15, 2025 and also submitted his CAL Claims and Lump-Sum Claims forwarded to PRBU 4A  August 20, 2025. </t>
  </si>
  <si>
    <t>For endorsement to PRBU 4A</t>
  </si>
  <si>
    <t xml:space="preserve">PPO CLearance
RSAO Clearance
DC Clearance
DL Clearance
</t>
  </si>
  <si>
    <t xml:space="preserve">NAPOLCOM Clearance
DL Clearance, </t>
  </si>
  <si>
    <t>NAPOLCOM Clearance
 DL Clearance
OMBUDSMAN Clearance.</t>
  </si>
  <si>
    <t>RSAO Clearance
NAPOLCOM CLearance
DC Clearance
DL Clearance</t>
  </si>
  <si>
    <t>PPO Clearance
RSAO Clearance
NAPOLCOM Clearance
DC Clearance
DL Clearance</t>
  </si>
  <si>
    <t>Already forwarded  to PRBS  on 
July 8, 2026</t>
  </si>
  <si>
    <t>PBGEN HANSEL MATAMIS MARANTAN</t>
  </si>
  <si>
    <t>PLT RONALDO GONZALES GLORIOSO</t>
  </si>
  <si>
    <t>Unit/PPO</t>
  </si>
  <si>
    <t>PRO 4A Compulsory Retirees of January to Decemeber CY 2026 with Lacking Requirements
As of July 15, 2026</t>
  </si>
  <si>
    <t>RHQ</t>
  </si>
  <si>
    <t>RMFB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</si>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</sst>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8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5" fontId="4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5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15" fontId="8" fillId="3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16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9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 readingOrder="1"/>
    </xf>
    <xf numFmtId="0" fontId="12" fillId="3" borderId="6" xfId="0" applyFont="1" applyFill="1" applyBorder="1" applyAlignment="1">
      <alignment vertical="center" wrapText="1" readingOrder="1"/>
    </xf>
    <xf numFmtId="15" fontId="12" fillId="3" borderId="1" xfId="2" applyNumberFormat="1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left" vertical="center" wrapText="1"/>
    </xf>
    <xf numFmtId="15" fontId="1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7" fillId="0" borderId="0" xfId="0" applyFont="1"/>
    <xf numFmtId="0" fontId="21" fillId="0" borderId="1" xfId="0" applyFont="1" applyBorder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left" vertical="center" wrapText="1"/>
    </xf>
    <xf numFmtId="15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 wrapText="1"/>
    </xf>
    <xf numFmtId="15" fontId="17" fillId="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15" fontId="12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3"/>
  <sheetViews>
    <sheetView zoomScale="70" zoomScaleNormal="70" workbookViewId="0">
      <pane ySplit="3" topLeftCell="A4" activePane="bottomLeft" state="frozen"/>
      <selection pane="bottomLeft" activeCell="F4" sqref="F4"/>
    </sheetView>
  </sheetViews>
  <sheetFormatPr defaultColWidth="9" defaultRowHeight="26.25" customHeight="1"/>
  <cols>
    <col min="1" max="1" width="9.5703125" style="18" customWidth="1"/>
    <col min="2" max="2" width="53.140625" style="23" customWidth="1"/>
    <col min="3" max="3" width="20.85546875" style="2" customWidth="1"/>
    <col min="4" max="4" width="21.28515625" style="3" customWidth="1"/>
    <col min="5" max="5" width="25.5703125" style="2" customWidth="1"/>
    <col min="6" max="6" width="40.28515625" style="36" customWidth="1"/>
    <col min="7" max="7" width="38.28515625" style="2" customWidth="1"/>
    <col min="8" max="16384" width="9" style="2"/>
  </cols>
  <sheetData>
    <row r="1" spans="1:12" ht="37.5" customHeight="1">
      <c r="A1" s="83" t="s">
        <v>121</v>
      </c>
      <c r="B1" s="83"/>
      <c r="C1" s="83"/>
      <c r="D1" s="83"/>
      <c r="E1" s="83"/>
      <c r="F1" s="83"/>
    </row>
    <row r="2" spans="1:12" ht="19.5" customHeight="1">
      <c r="A2" s="84" t="s">
        <v>0</v>
      </c>
      <c r="B2" s="84" t="s">
        <v>1</v>
      </c>
      <c r="C2" s="84" t="s">
        <v>2</v>
      </c>
      <c r="D2" s="84" t="s">
        <v>3</v>
      </c>
      <c r="E2" s="84"/>
      <c r="F2" s="83" t="s">
        <v>4</v>
      </c>
      <c r="L2" s="2" t="s">
        <v>100</v>
      </c>
    </row>
    <row r="3" spans="1:12" ht="21" customHeight="1">
      <c r="A3" s="84"/>
      <c r="B3" s="84"/>
      <c r="C3" s="84"/>
      <c r="D3" s="8" t="s">
        <v>5</v>
      </c>
      <c r="E3" s="8" t="s">
        <v>6</v>
      </c>
      <c r="F3" s="83"/>
    </row>
    <row r="4" spans="1:12" s="19" customFormat="1" ht="31.5" customHeight="1">
      <c r="A4" s="31">
        <v>1</v>
      </c>
      <c r="B4" s="25" t="s">
        <v>25</v>
      </c>
      <c r="C4" s="26">
        <v>45312</v>
      </c>
      <c r="D4" s="85" t="s">
        <v>7</v>
      </c>
      <c r="E4" s="85"/>
      <c r="F4" s="34" t="s">
        <v>58</v>
      </c>
    </row>
    <row r="5" spans="1:12" s="19" customFormat="1" ht="32.25" customHeight="1">
      <c r="A5" s="31">
        <v>2</v>
      </c>
      <c r="B5" s="27" t="s">
        <v>26</v>
      </c>
      <c r="C5" s="26">
        <v>45313</v>
      </c>
      <c r="D5" s="85" t="s">
        <v>7</v>
      </c>
      <c r="E5" s="85"/>
      <c r="F5" s="34" t="s">
        <v>57</v>
      </c>
    </row>
    <row r="6" spans="1:12" s="19" customFormat="1" ht="31.5" customHeight="1">
      <c r="A6" s="31">
        <v>3</v>
      </c>
      <c r="B6" s="27" t="s">
        <v>27</v>
      </c>
      <c r="C6" s="32">
        <v>45317</v>
      </c>
      <c r="D6" s="85" t="s">
        <v>7</v>
      </c>
      <c r="E6" s="85"/>
      <c r="F6" s="34" t="s">
        <v>80</v>
      </c>
    </row>
    <row r="7" spans="1:12" s="19" customFormat="1" ht="52.5" customHeight="1">
      <c r="A7" s="31">
        <v>4</v>
      </c>
      <c r="B7" s="29" t="s">
        <v>60</v>
      </c>
      <c r="C7" s="26">
        <v>45333</v>
      </c>
      <c r="D7" s="85" t="s">
        <v>7</v>
      </c>
      <c r="E7" s="85"/>
      <c r="F7" s="34" t="s">
        <v>71</v>
      </c>
    </row>
    <row r="8" spans="1:12" s="19" customFormat="1" ht="76.5" customHeight="1">
      <c r="A8" s="31">
        <v>5</v>
      </c>
      <c r="B8" s="25" t="s">
        <v>28</v>
      </c>
      <c r="C8" s="26">
        <v>45346</v>
      </c>
      <c r="D8" s="81" t="s">
        <v>7</v>
      </c>
      <c r="E8" s="82"/>
      <c r="F8" s="34" t="s">
        <v>81</v>
      </c>
    </row>
    <row r="9" spans="1:12" s="19" customFormat="1" ht="49.5" customHeight="1">
      <c r="A9" s="31">
        <v>6</v>
      </c>
      <c r="B9" s="25" t="s">
        <v>29</v>
      </c>
      <c r="C9" s="26">
        <v>45364</v>
      </c>
      <c r="D9" s="81" t="s">
        <v>7</v>
      </c>
      <c r="E9" s="82"/>
      <c r="F9" s="34" t="s">
        <v>95</v>
      </c>
    </row>
    <row r="10" spans="1:12" s="19" customFormat="1" ht="37.5" customHeight="1">
      <c r="A10" s="31">
        <v>7</v>
      </c>
      <c r="B10" s="25" t="s">
        <v>98</v>
      </c>
      <c r="C10" s="26">
        <v>45367</v>
      </c>
      <c r="D10" s="81" t="s">
        <v>7</v>
      </c>
      <c r="E10" s="82"/>
      <c r="F10" s="34" t="s">
        <v>56</v>
      </c>
    </row>
    <row r="11" spans="1:12" s="19" customFormat="1" ht="34.5" customHeight="1">
      <c r="A11" s="31">
        <v>8</v>
      </c>
      <c r="B11" s="25" t="s">
        <v>30</v>
      </c>
      <c r="C11" s="26">
        <v>45381</v>
      </c>
      <c r="D11" s="81" t="s">
        <v>7</v>
      </c>
      <c r="E11" s="82"/>
      <c r="F11" s="34" t="s">
        <v>73</v>
      </c>
    </row>
    <row r="12" spans="1:12" s="19" customFormat="1" ht="36" customHeight="1">
      <c r="A12" s="31">
        <v>9</v>
      </c>
      <c r="B12" s="25" t="s">
        <v>31</v>
      </c>
      <c r="C12" s="26">
        <v>45387</v>
      </c>
      <c r="D12" s="81" t="s">
        <v>7</v>
      </c>
      <c r="E12" s="82"/>
      <c r="F12" s="39" t="s">
        <v>78</v>
      </c>
    </row>
    <row r="13" spans="1:12" s="19" customFormat="1" ht="48.75" customHeight="1">
      <c r="A13" s="31">
        <v>10</v>
      </c>
      <c r="B13" s="27" t="s">
        <v>32</v>
      </c>
      <c r="C13" s="32">
        <v>45397</v>
      </c>
      <c r="D13" s="81" t="s">
        <v>7</v>
      </c>
      <c r="E13" s="82"/>
      <c r="F13" s="34" t="s">
        <v>74</v>
      </c>
    </row>
    <row r="14" spans="1:12" s="20" customFormat="1" ht="46.5" customHeight="1">
      <c r="A14" s="31">
        <v>11</v>
      </c>
      <c r="B14" s="25" t="s">
        <v>33</v>
      </c>
      <c r="C14" s="26">
        <v>45403</v>
      </c>
      <c r="D14" s="81" t="s">
        <v>7</v>
      </c>
      <c r="E14" s="82"/>
      <c r="F14" s="34" t="s">
        <v>99</v>
      </c>
    </row>
    <row r="15" spans="1:12" s="21" customFormat="1" ht="52.5" customHeight="1">
      <c r="A15" s="31">
        <v>12</v>
      </c>
      <c r="B15" s="25" t="s">
        <v>34</v>
      </c>
      <c r="C15" s="26">
        <v>45427</v>
      </c>
      <c r="D15" s="81" t="s">
        <v>7</v>
      </c>
      <c r="E15" s="82"/>
      <c r="F15" s="34" t="s">
        <v>92</v>
      </c>
    </row>
    <row r="16" spans="1:12" s="21" customFormat="1" ht="47.25" customHeight="1">
      <c r="A16" s="31">
        <v>13</v>
      </c>
      <c r="B16" s="25" t="s">
        <v>36</v>
      </c>
      <c r="C16" s="32">
        <v>45446</v>
      </c>
      <c r="D16" s="81" t="s">
        <v>7</v>
      </c>
      <c r="E16" s="82"/>
      <c r="F16" s="34" t="s">
        <v>88</v>
      </c>
    </row>
    <row r="17" spans="1:10" s="21" customFormat="1" ht="40.5" customHeight="1">
      <c r="A17" s="31">
        <v>14</v>
      </c>
      <c r="B17" s="25" t="s">
        <v>38</v>
      </c>
      <c r="C17" s="32">
        <v>45446</v>
      </c>
      <c r="D17" s="81" t="s">
        <v>7</v>
      </c>
      <c r="E17" s="82"/>
      <c r="F17" s="34" t="s">
        <v>89</v>
      </c>
    </row>
    <row r="18" spans="1:10" s="21" customFormat="1" ht="48" customHeight="1">
      <c r="A18" s="31">
        <v>15</v>
      </c>
      <c r="B18" s="25" t="s">
        <v>35</v>
      </c>
      <c r="C18" s="26">
        <v>45455</v>
      </c>
      <c r="D18" s="81" t="s">
        <v>7</v>
      </c>
      <c r="E18" s="82"/>
      <c r="F18" s="34" t="s">
        <v>91</v>
      </c>
      <c r="G18" s="19"/>
    </row>
    <row r="19" spans="1:10" s="19" customFormat="1" ht="48" customHeight="1">
      <c r="A19" s="31">
        <v>16</v>
      </c>
      <c r="B19" s="27" t="s">
        <v>40</v>
      </c>
      <c r="C19" s="32">
        <v>45468</v>
      </c>
      <c r="D19" s="81" t="s">
        <v>7</v>
      </c>
      <c r="E19" s="82"/>
      <c r="F19" s="34" t="s">
        <v>96</v>
      </c>
    </row>
    <row r="20" spans="1:10" s="19" customFormat="1" ht="48.75" customHeight="1">
      <c r="A20" s="31">
        <v>17</v>
      </c>
      <c r="B20" s="27" t="s">
        <v>39</v>
      </c>
      <c r="C20" s="32">
        <v>45472</v>
      </c>
      <c r="D20" s="81" t="s">
        <v>7</v>
      </c>
      <c r="E20" s="82"/>
      <c r="F20" s="40" t="s">
        <v>85</v>
      </c>
    </row>
    <row r="21" spans="1:10" s="19" customFormat="1" ht="63.75" customHeight="1">
      <c r="A21" s="31">
        <v>18</v>
      </c>
      <c r="B21" s="25" t="s">
        <v>37</v>
      </c>
      <c r="C21" s="32">
        <v>45473</v>
      </c>
      <c r="D21" s="81" t="s">
        <v>7</v>
      </c>
      <c r="E21" s="82"/>
      <c r="F21" s="34" t="s">
        <v>111</v>
      </c>
      <c r="H21" s="33"/>
    </row>
    <row r="22" spans="1:10" s="19" customFormat="1" ht="35.25" customHeight="1">
      <c r="A22" s="31">
        <v>19</v>
      </c>
      <c r="B22" s="25" t="s">
        <v>41</v>
      </c>
      <c r="C22" s="26">
        <v>45484</v>
      </c>
      <c r="D22" s="81" t="s">
        <v>7</v>
      </c>
      <c r="E22" s="82"/>
      <c r="F22" s="39" t="s">
        <v>86</v>
      </c>
    </row>
    <row r="23" spans="1:10" s="19" customFormat="1" ht="49.5" customHeight="1">
      <c r="A23" s="31">
        <v>20</v>
      </c>
      <c r="B23" s="25" t="s">
        <v>45</v>
      </c>
      <c r="C23" s="32">
        <v>45491</v>
      </c>
      <c r="D23" s="81" t="s">
        <v>7</v>
      </c>
      <c r="E23" s="82"/>
      <c r="F23" s="39" t="s">
        <v>87</v>
      </c>
    </row>
    <row r="24" spans="1:10" s="19" customFormat="1" ht="66.75" customHeight="1">
      <c r="A24" s="31">
        <v>21</v>
      </c>
      <c r="B24" s="27" t="s">
        <v>46</v>
      </c>
      <c r="C24" s="32">
        <v>45492</v>
      </c>
      <c r="D24" s="81" t="s">
        <v>7</v>
      </c>
      <c r="E24" s="82"/>
      <c r="F24" s="34" t="s">
        <v>112</v>
      </c>
      <c r="G24" s="38"/>
      <c r="J24" s="19" t="s">
        <v>90</v>
      </c>
    </row>
    <row r="25" spans="1:10" s="19" customFormat="1" ht="49.5" customHeight="1">
      <c r="A25" s="31">
        <v>22</v>
      </c>
      <c r="B25" s="27" t="s">
        <v>42</v>
      </c>
      <c r="C25" s="32">
        <v>45493</v>
      </c>
      <c r="D25" s="81" t="s">
        <v>7</v>
      </c>
      <c r="E25" s="82"/>
      <c r="F25" s="39" t="s">
        <v>97</v>
      </c>
      <c r="G25" s="22"/>
    </row>
    <row r="26" spans="1:10" s="22" customFormat="1" ht="37.5" customHeight="1">
      <c r="A26" s="31">
        <v>23</v>
      </c>
      <c r="B26" s="25" t="s">
        <v>43</v>
      </c>
      <c r="C26" s="32">
        <v>45500</v>
      </c>
      <c r="D26" s="81" t="s">
        <v>7</v>
      </c>
      <c r="E26" s="82"/>
      <c r="F26" s="41" t="s">
        <v>84</v>
      </c>
      <c r="G26" s="19"/>
    </row>
    <row r="27" spans="1:10" s="19" customFormat="1" ht="52.5" customHeight="1">
      <c r="A27" s="31">
        <v>24</v>
      </c>
      <c r="B27" s="25" t="s">
        <v>44</v>
      </c>
      <c r="C27" s="32">
        <v>45502</v>
      </c>
      <c r="D27" s="81" t="s">
        <v>7</v>
      </c>
      <c r="E27" s="82"/>
      <c r="F27" s="34" t="s">
        <v>93</v>
      </c>
      <c r="G27" s="19" t="s">
        <v>79</v>
      </c>
    </row>
    <row r="28" spans="1:10" s="19" customFormat="1" ht="65.25" customHeight="1">
      <c r="A28" s="31">
        <v>25</v>
      </c>
      <c r="B28" s="25" t="s">
        <v>47</v>
      </c>
      <c r="C28" s="26">
        <v>45507</v>
      </c>
      <c r="D28" s="81" t="s">
        <v>7</v>
      </c>
      <c r="E28" s="82"/>
      <c r="F28" s="39" t="s">
        <v>103</v>
      </c>
    </row>
    <row r="29" spans="1:10" s="19" customFormat="1" ht="72.75" customHeight="1">
      <c r="A29" s="31">
        <v>26</v>
      </c>
      <c r="B29" s="25" t="s">
        <v>48</v>
      </c>
      <c r="C29" s="26">
        <v>45536</v>
      </c>
      <c r="D29" s="81" t="s">
        <v>7</v>
      </c>
      <c r="E29" s="82"/>
      <c r="F29" s="39" t="s">
        <v>113</v>
      </c>
    </row>
    <row r="30" spans="1:10" s="19" customFormat="1" ht="80.25" customHeight="1">
      <c r="A30" s="31">
        <v>27</v>
      </c>
      <c r="B30" s="25" t="s">
        <v>62</v>
      </c>
      <c r="C30" s="26">
        <v>45539</v>
      </c>
      <c r="D30" s="81" t="s">
        <v>7</v>
      </c>
      <c r="E30" s="82"/>
      <c r="F30" s="39" t="s">
        <v>104</v>
      </c>
    </row>
    <row r="31" spans="1:10" s="19" customFormat="1" ht="70.5" customHeight="1">
      <c r="A31" s="31">
        <v>28</v>
      </c>
      <c r="B31" s="25" t="s">
        <v>61</v>
      </c>
      <c r="C31" s="26">
        <v>45541</v>
      </c>
      <c r="D31" s="81" t="s">
        <v>7</v>
      </c>
      <c r="E31" s="82"/>
      <c r="F31" s="34" t="s">
        <v>105</v>
      </c>
    </row>
    <row r="32" spans="1:10" s="19" customFormat="1" ht="70.5" customHeight="1">
      <c r="A32" s="31">
        <v>29</v>
      </c>
      <c r="B32" s="25" t="s">
        <v>63</v>
      </c>
      <c r="C32" s="26">
        <v>45561</v>
      </c>
      <c r="D32" s="81" t="s">
        <v>7</v>
      </c>
      <c r="E32" s="82"/>
      <c r="F32" s="39" t="s">
        <v>102</v>
      </c>
    </row>
    <row r="33" spans="1:13" s="19" customFormat="1" ht="62.25" customHeight="1">
      <c r="A33" s="31">
        <v>30</v>
      </c>
      <c r="B33" s="25" t="s">
        <v>49</v>
      </c>
      <c r="C33" s="26">
        <v>45565</v>
      </c>
      <c r="D33" s="81" t="s">
        <v>7</v>
      </c>
      <c r="E33" s="82"/>
      <c r="F33" s="34" t="s">
        <v>109</v>
      </c>
    </row>
    <row r="34" spans="1:13" s="19" customFormat="1" ht="46.5" customHeight="1">
      <c r="A34" s="31">
        <v>31</v>
      </c>
      <c r="B34" s="25" t="s">
        <v>50</v>
      </c>
      <c r="C34" s="26">
        <v>45578</v>
      </c>
      <c r="D34" s="81" t="s">
        <v>7</v>
      </c>
      <c r="E34" s="82"/>
      <c r="F34" s="34" t="s">
        <v>110</v>
      </c>
    </row>
    <row r="35" spans="1:13" s="19" customFormat="1" ht="60.75" customHeight="1">
      <c r="A35" s="31">
        <v>32</v>
      </c>
      <c r="B35" s="25" t="s">
        <v>51</v>
      </c>
      <c r="C35" s="26">
        <v>45578</v>
      </c>
      <c r="D35" s="81" t="s">
        <v>7</v>
      </c>
      <c r="E35" s="82"/>
      <c r="F35" s="39" t="s">
        <v>114</v>
      </c>
    </row>
    <row r="36" spans="1:13" s="19" customFormat="1" ht="70.5" customHeight="1">
      <c r="A36" s="31">
        <v>33</v>
      </c>
      <c r="B36" s="25" t="s">
        <v>54</v>
      </c>
      <c r="C36" s="26">
        <v>45604</v>
      </c>
      <c r="D36" s="81" t="s">
        <v>7</v>
      </c>
      <c r="E36" s="82"/>
      <c r="F36" s="39" t="s">
        <v>101</v>
      </c>
    </row>
    <row r="37" spans="1:13" s="19" customFormat="1" ht="62.25" customHeight="1">
      <c r="A37" s="31">
        <v>34</v>
      </c>
      <c r="B37" s="25" t="s">
        <v>76</v>
      </c>
      <c r="C37" s="26">
        <v>45606</v>
      </c>
      <c r="D37" s="81"/>
      <c r="E37" s="82"/>
      <c r="F37" s="39" t="s">
        <v>120</v>
      </c>
    </row>
    <row r="38" spans="1:13" s="19" customFormat="1" ht="65.25" customHeight="1">
      <c r="A38" s="31">
        <v>35</v>
      </c>
      <c r="B38" s="25" t="s">
        <v>53</v>
      </c>
      <c r="C38" s="26">
        <v>45608</v>
      </c>
      <c r="D38" s="81" t="s">
        <v>7</v>
      </c>
      <c r="E38" s="82"/>
      <c r="F38" s="34" t="s">
        <v>94</v>
      </c>
    </row>
    <row r="39" spans="1:13" s="19" customFormat="1" ht="78" customHeight="1">
      <c r="A39" s="31">
        <v>36</v>
      </c>
      <c r="B39" s="27" t="s">
        <v>52</v>
      </c>
      <c r="C39" s="26">
        <v>45610</v>
      </c>
      <c r="D39" s="81" t="s">
        <v>7</v>
      </c>
      <c r="E39" s="82"/>
      <c r="F39" s="39" t="s">
        <v>107</v>
      </c>
      <c r="G39" s="22"/>
      <c r="M39" s="22"/>
    </row>
    <row r="40" spans="1:13" s="22" customFormat="1" ht="48" customHeight="1">
      <c r="A40" s="31">
        <v>37</v>
      </c>
      <c r="B40" s="27" t="s">
        <v>55</v>
      </c>
      <c r="C40" s="26">
        <v>45620</v>
      </c>
      <c r="D40" s="81" t="s">
        <v>75</v>
      </c>
      <c r="E40" s="82"/>
      <c r="F40" s="34" t="s">
        <v>117</v>
      </c>
      <c r="G40" s="19"/>
      <c r="M40" s="19"/>
    </row>
    <row r="41" spans="1:13" s="19" customFormat="1" ht="42.75" customHeight="1">
      <c r="A41" s="31">
        <v>38</v>
      </c>
      <c r="B41" s="43" t="s">
        <v>82</v>
      </c>
      <c r="C41" s="44">
        <v>45628</v>
      </c>
      <c r="D41" s="81" t="s">
        <v>83</v>
      </c>
      <c r="E41" s="82"/>
      <c r="F41" s="34" t="s">
        <v>116</v>
      </c>
      <c r="K41" s="19" t="s">
        <v>24</v>
      </c>
    </row>
    <row r="42" spans="1:13" s="19" customFormat="1" ht="45" customHeight="1">
      <c r="A42" s="31">
        <v>39</v>
      </c>
      <c r="B42" s="27" t="s">
        <v>59</v>
      </c>
      <c r="C42" s="26">
        <v>45634</v>
      </c>
      <c r="D42" s="81"/>
      <c r="E42" s="82"/>
      <c r="F42" s="42" t="s">
        <v>108</v>
      </c>
    </row>
    <row r="43" spans="1:13" s="19" customFormat="1" ht="53.25" customHeight="1">
      <c r="A43" s="31">
        <v>40</v>
      </c>
      <c r="B43" s="27" t="s">
        <v>77</v>
      </c>
      <c r="C43" s="26">
        <v>45642</v>
      </c>
      <c r="D43" s="81" t="s">
        <v>7</v>
      </c>
      <c r="E43" s="82"/>
      <c r="F43" s="42" t="s">
        <v>106</v>
      </c>
      <c r="G43" s="2"/>
      <c r="M43" s="2"/>
    </row>
    <row r="44" spans="1:13" ht="45.75" customHeight="1">
      <c r="A44" s="45">
        <v>41</v>
      </c>
      <c r="B44" s="46" t="s">
        <v>118</v>
      </c>
      <c r="C44" s="26">
        <v>45649</v>
      </c>
      <c r="D44" s="81" t="s">
        <v>7</v>
      </c>
      <c r="E44" s="82"/>
      <c r="F44" s="29" t="s">
        <v>119</v>
      </c>
    </row>
    <row r="45" spans="1:13" ht="48.75" customHeight="1">
      <c r="A45" s="4"/>
      <c r="B45" s="5"/>
      <c r="C45" s="6"/>
      <c r="D45" s="7"/>
      <c r="E45" s="7"/>
      <c r="F45" s="35"/>
    </row>
    <row r="46" spans="1:13" ht="53.25" customHeight="1">
      <c r="A46" s="86" t="s">
        <v>122</v>
      </c>
      <c r="B46" s="87"/>
      <c r="C46" s="87"/>
      <c r="D46" s="88"/>
      <c r="F46" s="36" t="s">
        <v>115</v>
      </c>
    </row>
    <row r="47" spans="1:13" ht="58.5" customHeight="1">
      <c r="A47" s="1" t="s">
        <v>8</v>
      </c>
      <c r="B47" s="1" t="s">
        <v>70</v>
      </c>
      <c r="C47" s="1" t="s">
        <v>9</v>
      </c>
      <c r="D47" s="1" t="s">
        <v>10</v>
      </c>
    </row>
    <row r="48" spans="1:13" ht="18" customHeight="1">
      <c r="A48" s="9" t="s">
        <v>15</v>
      </c>
      <c r="B48" s="9">
        <v>3</v>
      </c>
      <c r="C48" s="9">
        <v>3</v>
      </c>
      <c r="D48" s="9">
        <v>0</v>
      </c>
      <c r="M48" s="13"/>
    </row>
    <row r="49" spans="1:46" ht="18" customHeight="1">
      <c r="A49" s="9" t="s">
        <v>16</v>
      </c>
      <c r="B49" s="9">
        <v>2</v>
      </c>
      <c r="C49" s="9">
        <v>2</v>
      </c>
      <c r="D49" s="9">
        <f t="shared" ref="D49:D55" si="0">B49-C49</f>
        <v>0</v>
      </c>
      <c r="M49" s="13"/>
      <c r="N49" s="13"/>
    </row>
    <row r="50" spans="1:46" ht="18" customHeight="1">
      <c r="A50" s="9" t="s">
        <v>17</v>
      </c>
      <c r="B50" s="9">
        <v>3</v>
      </c>
      <c r="C50" s="9">
        <v>3</v>
      </c>
      <c r="D50" s="9">
        <f t="shared" si="0"/>
        <v>0</v>
      </c>
      <c r="M50" s="13"/>
      <c r="N50" s="13"/>
    </row>
    <row r="51" spans="1:46" ht="18" customHeight="1">
      <c r="A51" s="9" t="s">
        <v>18</v>
      </c>
      <c r="B51" s="10">
        <v>3</v>
      </c>
      <c r="C51" s="10">
        <v>3</v>
      </c>
      <c r="D51" s="9">
        <f t="shared" si="0"/>
        <v>0</v>
      </c>
      <c r="M51" s="14"/>
      <c r="N51" s="13"/>
    </row>
    <row r="52" spans="1:46" ht="18" customHeight="1">
      <c r="A52" s="9" t="s">
        <v>11</v>
      </c>
      <c r="B52" s="10">
        <v>1</v>
      </c>
      <c r="C52" s="10">
        <v>1</v>
      </c>
      <c r="D52" s="9">
        <f t="shared" si="0"/>
        <v>0</v>
      </c>
      <c r="M52" s="14"/>
      <c r="N52" s="14"/>
    </row>
    <row r="53" spans="1:46" ht="18" customHeight="1">
      <c r="A53" s="9" t="s">
        <v>12</v>
      </c>
      <c r="B53" s="10">
        <v>6</v>
      </c>
      <c r="C53" s="10">
        <v>6</v>
      </c>
      <c r="D53" s="9">
        <f t="shared" si="0"/>
        <v>0</v>
      </c>
      <c r="M53" s="14"/>
      <c r="N53" s="14"/>
    </row>
    <row r="54" spans="1:46" ht="18" customHeight="1">
      <c r="A54" s="9" t="s">
        <v>13</v>
      </c>
      <c r="B54" s="10">
        <v>6</v>
      </c>
      <c r="C54" s="10">
        <v>6</v>
      </c>
      <c r="D54" s="9">
        <v>0</v>
      </c>
      <c r="G54" s="17"/>
      <c r="M54" s="15"/>
      <c r="N54" s="14"/>
    </row>
    <row r="55" spans="1:46" ht="18" customHeight="1">
      <c r="A55" s="9" t="s">
        <v>19</v>
      </c>
      <c r="B55" s="10">
        <v>1</v>
      </c>
      <c r="C55" s="10">
        <v>1</v>
      </c>
      <c r="D55" s="9">
        <f t="shared" si="0"/>
        <v>0</v>
      </c>
      <c r="G55" s="17"/>
      <c r="M55" s="15"/>
      <c r="N55" s="15"/>
    </row>
    <row r="56" spans="1:46" ht="18" customHeight="1">
      <c r="A56" s="9" t="s">
        <v>20</v>
      </c>
      <c r="B56" s="10">
        <v>5</v>
      </c>
      <c r="C56" s="10">
        <v>5</v>
      </c>
      <c r="D56" s="9">
        <v>0</v>
      </c>
      <c r="M56" s="14"/>
      <c r="N56" s="15"/>
    </row>
    <row r="57" spans="1:46" s="16" customFormat="1" ht="18" customHeight="1">
      <c r="A57" s="9" t="s">
        <v>21</v>
      </c>
      <c r="B57" s="10">
        <v>2</v>
      </c>
      <c r="C57" s="10">
        <v>2</v>
      </c>
      <c r="D57" s="9">
        <v>0</v>
      </c>
      <c r="E57" s="17"/>
      <c r="F57" s="37"/>
      <c r="G57" s="2"/>
      <c r="H57" s="17"/>
      <c r="I57" s="17"/>
      <c r="J57" s="17"/>
      <c r="K57" s="17"/>
      <c r="L57" s="17"/>
      <c r="M57" s="14"/>
      <c r="N57" s="14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</row>
    <row r="58" spans="1:46" ht="18" customHeight="1">
      <c r="A58" s="9" t="s">
        <v>22</v>
      </c>
      <c r="B58" s="9">
        <v>5</v>
      </c>
      <c r="C58" s="9">
        <v>5</v>
      </c>
      <c r="D58" s="9">
        <v>0</v>
      </c>
      <c r="E58" s="17"/>
      <c r="F58" s="37"/>
      <c r="M58" s="14"/>
      <c r="N58" s="14"/>
    </row>
    <row r="59" spans="1:46" ht="18" customHeight="1">
      <c r="A59" s="9" t="s">
        <v>23</v>
      </c>
      <c r="B59" s="10">
        <v>3</v>
      </c>
      <c r="C59" s="10">
        <v>4</v>
      </c>
      <c r="D59" s="9">
        <v>0</v>
      </c>
      <c r="M59" s="14"/>
      <c r="N59" s="14"/>
    </row>
    <row r="60" spans="1:46" ht="26.25" customHeight="1">
      <c r="A60" s="11" t="s">
        <v>14</v>
      </c>
      <c r="B60" s="11">
        <f>SUM(B48:B59)</f>
        <v>40</v>
      </c>
      <c r="C60" s="11">
        <f>SUM(C48:C59)</f>
        <v>41</v>
      </c>
      <c r="D60" s="11">
        <f t="shared" ref="D60" si="1">SUM(D48:D59)</f>
        <v>0</v>
      </c>
      <c r="N60" s="14"/>
    </row>
    <row r="61" spans="1:46" ht="56.25" customHeight="1">
      <c r="A61" s="7"/>
      <c r="B61" s="24"/>
      <c r="D61" s="2"/>
    </row>
    <row r="62" spans="1:46" ht="52.5" customHeight="1">
      <c r="A62" s="86" t="s">
        <v>122</v>
      </c>
      <c r="B62" s="87"/>
      <c r="C62" s="87"/>
      <c r="D62" s="88"/>
    </row>
    <row r="63" spans="1:46" ht="53.25" customHeight="1">
      <c r="A63" s="1" t="s">
        <v>65</v>
      </c>
      <c r="B63" s="1" t="s">
        <v>70</v>
      </c>
      <c r="C63" s="1" t="s">
        <v>9</v>
      </c>
      <c r="D63" s="1" t="s">
        <v>10</v>
      </c>
    </row>
    <row r="64" spans="1:46" ht="26.25" customHeight="1">
      <c r="A64" s="12" t="s">
        <v>64</v>
      </c>
      <c r="B64" s="12">
        <v>8</v>
      </c>
      <c r="C64" s="28">
        <v>8</v>
      </c>
      <c r="D64" s="28">
        <f>B64-C64</f>
        <v>0</v>
      </c>
    </row>
    <row r="65" spans="1:4" ht="26.25" customHeight="1">
      <c r="A65" s="12" t="s">
        <v>66</v>
      </c>
      <c r="B65" s="12">
        <v>10</v>
      </c>
      <c r="C65" s="28">
        <v>10</v>
      </c>
      <c r="D65" s="28">
        <v>0</v>
      </c>
    </row>
    <row r="66" spans="1:4" ht="26.25" customHeight="1">
      <c r="A66" s="12" t="s">
        <v>67</v>
      </c>
      <c r="B66" s="12">
        <v>12</v>
      </c>
      <c r="C66" s="28">
        <v>12</v>
      </c>
      <c r="D66" s="28">
        <f t="shared" ref="D66" si="2">B66-C66</f>
        <v>0</v>
      </c>
    </row>
    <row r="67" spans="1:4" ht="26.25" customHeight="1">
      <c r="A67" s="12" t="s">
        <v>68</v>
      </c>
      <c r="B67" s="12">
        <v>10</v>
      </c>
      <c r="C67" s="28">
        <v>11</v>
      </c>
      <c r="D67" s="28">
        <v>0</v>
      </c>
    </row>
    <row r="68" spans="1:4" ht="26.25" customHeight="1">
      <c r="A68" s="11" t="s">
        <v>69</v>
      </c>
      <c r="B68" s="11">
        <f>SUM(B64:B67)</f>
        <v>40</v>
      </c>
      <c r="C68" s="11">
        <f t="shared" ref="C68:D68" si="3">SUM(C64:C67)</f>
        <v>41</v>
      </c>
      <c r="D68" s="11">
        <f t="shared" si="3"/>
        <v>0</v>
      </c>
    </row>
    <row r="69" spans="1:4" ht="26.25" customHeight="1">
      <c r="A69" s="7"/>
      <c r="B69" s="24"/>
      <c r="D69" s="2"/>
    </row>
    <row r="70" spans="1:4" ht="26.25" customHeight="1">
      <c r="A70" s="7"/>
      <c r="B70" s="24"/>
      <c r="D70" s="2"/>
    </row>
    <row r="71" spans="1:4" ht="26.25" customHeight="1">
      <c r="A71" s="7"/>
      <c r="B71" s="24"/>
      <c r="C71" s="30" t="s">
        <v>72</v>
      </c>
      <c r="D71" s="2"/>
    </row>
    <row r="72" spans="1:4" ht="26.25" customHeight="1">
      <c r="A72" s="7"/>
      <c r="B72" s="24"/>
      <c r="D72" s="2"/>
    </row>
    <row r="73" spans="1:4" ht="26.25" customHeight="1">
      <c r="A73" s="7"/>
      <c r="B73" s="24"/>
      <c r="D73" s="2"/>
    </row>
    <row r="74" spans="1:4" ht="26.25" customHeight="1">
      <c r="A74" s="7"/>
      <c r="B74" s="24"/>
      <c r="D74" s="2"/>
    </row>
    <row r="75" spans="1:4" ht="26.25" customHeight="1">
      <c r="A75" s="7"/>
      <c r="B75" s="24"/>
      <c r="D75" s="2"/>
    </row>
    <row r="76" spans="1:4" ht="26.25" customHeight="1">
      <c r="A76" s="7"/>
      <c r="B76" s="24"/>
      <c r="D76" s="2"/>
    </row>
    <row r="77" spans="1:4" ht="26.25" customHeight="1">
      <c r="A77" s="7"/>
      <c r="B77" s="24"/>
      <c r="D77" s="2"/>
    </row>
    <row r="78" spans="1:4" ht="26.25" customHeight="1">
      <c r="A78" s="7"/>
      <c r="B78" s="24"/>
      <c r="D78" s="2"/>
    </row>
    <row r="79" spans="1:4" ht="26.25" customHeight="1">
      <c r="A79" s="7"/>
      <c r="B79" s="24"/>
      <c r="D79" s="2"/>
    </row>
    <row r="80" spans="1:4" ht="38.25" customHeight="1">
      <c r="A80" s="7"/>
      <c r="B80" s="24"/>
      <c r="D80" s="2"/>
    </row>
    <row r="81" spans="1:4" ht="15" customHeight="1">
      <c r="A81" s="7"/>
      <c r="B81" s="24"/>
      <c r="D81" s="2"/>
    </row>
    <row r="82" spans="1:4" ht="24.75" customHeight="1">
      <c r="A82" s="19"/>
      <c r="D82" s="2"/>
    </row>
    <row r="83" spans="1:4" ht="15.75">
      <c r="A83" s="19"/>
      <c r="D83" s="2"/>
    </row>
    <row r="84" spans="1:4" ht="15.75"/>
    <row r="85" spans="1:4" ht="15.75"/>
    <row r="86" spans="1:4" ht="15.75"/>
    <row r="87" spans="1:4" ht="15.75"/>
    <row r="88" spans="1:4" ht="15.75"/>
    <row r="89" spans="1:4" ht="15.75"/>
    <row r="90" spans="1:4" ht="15.75"/>
    <row r="91" spans="1:4" ht="15.75"/>
    <row r="92" spans="1:4" ht="15.75"/>
    <row r="93" spans="1:4" ht="18" customHeight="1"/>
  </sheetData>
  <autoFilter ref="C10" xr:uid="{00000000-0001-0000-0000-000000000000}"/>
  <mergeCells count="49">
    <mergeCell ref="A62:D62"/>
    <mergeCell ref="D33:E33"/>
    <mergeCell ref="D35:E35"/>
    <mergeCell ref="D39:E39"/>
    <mergeCell ref="D42:E42"/>
    <mergeCell ref="A46:D46"/>
    <mergeCell ref="D40:E40"/>
    <mergeCell ref="D36:E36"/>
    <mergeCell ref="D37:E37"/>
    <mergeCell ref="D38:E38"/>
    <mergeCell ref="D43:E43"/>
    <mergeCell ref="D41:E41"/>
    <mergeCell ref="D34:E34"/>
    <mergeCell ref="D44:E44"/>
    <mergeCell ref="D22:E22"/>
    <mergeCell ref="D10:E10"/>
    <mergeCell ref="D7:E7"/>
    <mergeCell ref="D18:E18"/>
    <mergeCell ref="D9:E9"/>
    <mergeCell ref="D11:E11"/>
    <mergeCell ref="D12:E12"/>
    <mergeCell ref="D13:E13"/>
    <mergeCell ref="D14:E14"/>
    <mergeCell ref="D19:E19"/>
    <mergeCell ref="D21:E21"/>
    <mergeCell ref="D23:E23"/>
    <mergeCell ref="D24:E24"/>
    <mergeCell ref="A1:F1"/>
    <mergeCell ref="D2:E2"/>
    <mergeCell ref="A2:A3"/>
    <mergeCell ref="C2:C3"/>
    <mergeCell ref="F2:F3"/>
    <mergeCell ref="B2:B3"/>
    <mergeCell ref="D20:E20"/>
    <mergeCell ref="D16:E16"/>
    <mergeCell ref="D17:E17"/>
    <mergeCell ref="D15:E15"/>
    <mergeCell ref="D4:E4"/>
    <mergeCell ref="D6:E6"/>
    <mergeCell ref="D5:E5"/>
    <mergeCell ref="D8:E8"/>
    <mergeCell ref="D25:E25"/>
    <mergeCell ref="D30:E30"/>
    <mergeCell ref="D31:E31"/>
    <mergeCell ref="D32:E32"/>
    <mergeCell ref="D26:E26"/>
    <mergeCell ref="D28:E28"/>
    <mergeCell ref="D29:E29"/>
    <mergeCell ref="D27:E27"/>
  </mergeCells>
  <pageMargins left="0.23622047244094491" right="0.23622047244094491" top="0.74803149606299213" bottom="0.74803149606299213" header="0.31496062992125984" footer="0.31496062992125984"/>
  <pageSetup paperSize="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F9AB-8964-4F9F-AB7C-012B61FDF20E}">
  <dimension ref="A1:H42"/>
  <sheetViews>
    <sheetView tabSelected="1" topLeftCell="A38" zoomScale="85" zoomScaleNormal="85" workbookViewId="0">
      <selection activeCell="C6" sqref="C6"/>
    </sheetView>
  </sheetViews>
  <sheetFormatPr defaultColWidth="12.7109375" defaultRowHeight="14.25"/>
  <cols>
    <col min="1" max="2" width="9.85546875" style="47" customWidth="1"/>
    <col min="3" max="3" width="51.28515625" style="50" customWidth="1"/>
    <col min="4" max="4" width="17.140625" style="47" customWidth="1"/>
    <col min="5" max="5" width="18.140625" style="47" customWidth="1"/>
    <col min="6" max="6" width="23.28515625" style="47" customWidth="1"/>
    <col min="7" max="7" width="32.28515625" style="47" customWidth="1"/>
    <col min="8" max="8" width="66" style="49" customWidth="1"/>
    <col min="9" max="16384" width="12.7109375" style="47"/>
  </cols>
  <sheetData>
    <row r="1" spans="1:8" ht="49.5" customHeight="1">
      <c r="A1" s="74" t="s">
        <v>193</v>
      </c>
      <c r="B1" s="75"/>
      <c r="C1" s="75"/>
      <c r="D1" s="75"/>
      <c r="E1" s="75"/>
      <c r="F1" s="75"/>
      <c r="G1" s="75"/>
      <c r="H1" s="76"/>
    </row>
    <row r="2" spans="1:8" ht="15">
      <c r="A2" s="77" t="s">
        <v>0</v>
      </c>
      <c r="B2" s="78" t="s">
        <v>196</v>
      </c>
      <c r="C2" s="77" t="s">
        <v>1</v>
      </c>
      <c r="D2" s="78" t="s">
        <v>192</v>
      </c>
      <c r="E2" s="78" t="s">
        <v>2</v>
      </c>
      <c r="F2" s="77" t="s">
        <v>3</v>
      </c>
      <c r="G2" s="77"/>
      <c r="H2" s="80" t="s">
        <v>4</v>
      </c>
    </row>
    <row r="3" spans="1:8" ht="17.25" customHeight="1">
      <c r="A3" s="77"/>
      <c r="B3" s="79"/>
      <c r="C3" s="77"/>
      <c r="D3" s="79"/>
      <c r="E3" s="79"/>
      <c r="F3" s="48" t="s">
        <v>5</v>
      </c>
      <c r="G3" s="48" t="s">
        <v>6</v>
      </c>
      <c r="H3" s="80"/>
    </row>
    <row r="4" spans="1:8" ht="38.25" customHeight="1">
      <c r="A4" s="52">
        <v>1</v>
      </c>
      <c r="B4" s="53"/>
      <c r="C4" s="58" t="s">
        <v>126</v>
      </c>
      <c r="D4" s="53"/>
      <c r="E4" s="59">
        <v>46024</v>
      </c>
      <c r="F4" s="52" t="s">
        <v>161</v>
      </c>
      <c r="G4" s="52" t="s">
        <v>161</v>
      </c>
      <c r="H4" s="57" t="s">
        <v>182</v>
      </c>
    </row>
    <row r="5" spans="1:8" ht="66.75" customHeight="1">
      <c r="A5" s="52">
        <v>2</v>
      </c>
      <c r="B5" s="52"/>
      <c r="C5" s="60" t="s">
        <v>127</v>
      </c>
      <c r="D5" s="52"/>
      <c r="E5" s="59">
        <v>46034</v>
      </c>
      <c r="F5" s="57" t="s">
        <v>188</v>
      </c>
      <c r="G5" s="57" t="s">
        <v>164</v>
      </c>
      <c r="H5" s="57" t="s">
        <v>123</v>
      </c>
    </row>
    <row r="6" spans="1:8" ht="33.75" customHeight="1">
      <c r="A6" s="52">
        <v>3</v>
      </c>
      <c r="B6" s="52"/>
      <c r="C6" s="60" t="s">
        <v>128</v>
      </c>
      <c r="D6" s="53"/>
      <c r="E6" s="59">
        <v>46041</v>
      </c>
      <c r="F6" s="52" t="s">
        <v>161</v>
      </c>
      <c r="G6" s="52" t="s">
        <v>161</v>
      </c>
      <c r="H6" s="57" t="s">
        <v>166</v>
      </c>
    </row>
    <row r="7" spans="1:8" ht="33.75" customHeight="1">
      <c r="A7" s="52">
        <v>4</v>
      </c>
      <c r="B7" s="52"/>
      <c r="C7" s="55" t="s">
        <v>124</v>
      </c>
      <c r="D7" s="51"/>
      <c r="E7" s="59">
        <v>46043</v>
      </c>
      <c r="F7" s="52" t="s">
        <v>161</v>
      </c>
      <c r="G7" s="52" t="s">
        <v>161</v>
      </c>
      <c r="H7" s="57" t="s">
        <v>181</v>
      </c>
    </row>
    <row r="8" spans="1:8" ht="33.75" customHeight="1">
      <c r="A8" s="52">
        <v>5</v>
      </c>
      <c r="B8" s="52"/>
      <c r="C8" s="55" t="s">
        <v>125</v>
      </c>
      <c r="D8" s="61"/>
      <c r="E8" s="59">
        <v>46052</v>
      </c>
      <c r="F8" s="52" t="s">
        <v>161</v>
      </c>
      <c r="G8" s="52" t="s">
        <v>161</v>
      </c>
      <c r="H8" s="57" t="s">
        <v>180</v>
      </c>
    </row>
    <row r="9" spans="1:8" ht="33.75" customHeight="1">
      <c r="A9" s="52">
        <v>6</v>
      </c>
      <c r="B9" s="53"/>
      <c r="C9" s="58" t="s">
        <v>130</v>
      </c>
      <c r="D9" s="54"/>
      <c r="E9" s="59">
        <v>46056</v>
      </c>
      <c r="F9" s="52" t="s">
        <v>161</v>
      </c>
      <c r="G9" s="52" t="s">
        <v>161</v>
      </c>
      <c r="H9" s="57" t="s">
        <v>179</v>
      </c>
    </row>
    <row r="10" spans="1:8" ht="33.75" customHeight="1">
      <c r="A10" s="52">
        <v>7</v>
      </c>
      <c r="B10" s="52"/>
      <c r="C10" s="55" t="s">
        <v>129</v>
      </c>
      <c r="D10" s="62"/>
      <c r="E10" s="59">
        <v>46057</v>
      </c>
      <c r="F10" s="52" t="s">
        <v>161</v>
      </c>
      <c r="G10" s="52" t="s">
        <v>161</v>
      </c>
      <c r="H10" s="57" t="s">
        <v>178</v>
      </c>
    </row>
    <row r="11" spans="1:8" ht="33.75" customHeight="1">
      <c r="A11" s="52">
        <v>8</v>
      </c>
      <c r="B11" s="52"/>
      <c r="C11" s="55" t="s">
        <v>131</v>
      </c>
      <c r="D11" s="52"/>
      <c r="E11" s="59">
        <v>46068</v>
      </c>
      <c r="F11" s="52" t="s">
        <v>161</v>
      </c>
      <c r="G11" s="52" t="s">
        <v>161</v>
      </c>
      <c r="H11" s="57" t="s">
        <v>177</v>
      </c>
    </row>
    <row r="12" spans="1:8" ht="33.75" customHeight="1">
      <c r="A12" s="52">
        <v>9</v>
      </c>
      <c r="B12" s="52"/>
      <c r="C12" s="55" t="s">
        <v>132</v>
      </c>
      <c r="D12" s="52"/>
      <c r="E12" s="59">
        <v>46075</v>
      </c>
      <c r="F12" s="52" t="s">
        <v>161</v>
      </c>
      <c r="G12" s="52" t="s">
        <v>161</v>
      </c>
      <c r="H12" s="57" t="s">
        <v>176</v>
      </c>
    </row>
    <row r="13" spans="1:8" ht="38.25" customHeight="1">
      <c r="A13" s="52">
        <v>10</v>
      </c>
      <c r="B13" s="52"/>
      <c r="C13" s="60" t="s">
        <v>133</v>
      </c>
      <c r="D13" s="61"/>
      <c r="E13" s="59">
        <v>46078</v>
      </c>
      <c r="F13" s="52" t="s">
        <v>161</v>
      </c>
      <c r="G13" s="52" t="s">
        <v>161</v>
      </c>
      <c r="H13" s="57" t="s">
        <v>175</v>
      </c>
    </row>
    <row r="14" spans="1:8" ht="38.25" customHeight="1">
      <c r="A14" s="52">
        <v>11</v>
      </c>
      <c r="B14" s="52"/>
      <c r="C14" s="55" t="s">
        <v>134</v>
      </c>
      <c r="D14" s="62"/>
      <c r="E14" s="59">
        <v>46084</v>
      </c>
      <c r="F14" s="52" t="s">
        <v>161</v>
      </c>
      <c r="G14" s="52" t="s">
        <v>161</v>
      </c>
      <c r="H14" s="57" t="s">
        <v>174</v>
      </c>
    </row>
    <row r="15" spans="1:8" ht="38.25" customHeight="1">
      <c r="A15" s="52">
        <v>12</v>
      </c>
      <c r="B15" s="52"/>
      <c r="C15" s="55" t="s">
        <v>135</v>
      </c>
      <c r="D15" s="52"/>
      <c r="E15" s="59">
        <v>46088</v>
      </c>
      <c r="F15" s="52" t="s">
        <v>161</v>
      </c>
      <c r="G15" s="52" t="s">
        <v>161</v>
      </c>
      <c r="H15" s="57" t="s">
        <v>167</v>
      </c>
    </row>
    <row r="16" spans="1:8" ht="38.25" customHeight="1">
      <c r="A16" s="52">
        <v>13</v>
      </c>
      <c r="B16" s="52"/>
      <c r="C16" s="60" t="s">
        <v>136</v>
      </c>
      <c r="D16" s="63"/>
      <c r="E16" s="59">
        <v>46088</v>
      </c>
      <c r="F16" s="52" t="s">
        <v>161</v>
      </c>
      <c r="G16" s="52" t="s">
        <v>161</v>
      </c>
      <c r="H16" s="57" t="s">
        <v>165</v>
      </c>
    </row>
    <row r="17" spans="1:8" ht="38.25" customHeight="1">
      <c r="A17" s="52">
        <v>14</v>
      </c>
      <c r="B17" s="52"/>
      <c r="C17" s="55" t="s">
        <v>137</v>
      </c>
      <c r="D17" s="62"/>
      <c r="E17" s="64">
        <v>46093</v>
      </c>
      <c r="F17" s="52" t="s">
        <v>161</v>
      </c>
      <c r="G17" s="52" t="s">
        <v>161</v>
      </c>
      <c r="H17" s="57" t="s">
        <v>173</v>
      </c>
    </row>
    <row r="18" spans="1:8" ht="31.5" customHeight="1">
      <c r="A18" s="52">
        <v>15</v>
      </c>
      <c r="B18" s="52"/>
      <c r="C18" s="60" t="s">
        <v>138</v>
      </c>
      <c r="D18" s="52"/>
      <c r="E18" s="64">
        <v>46102</v>
      </c>
      <c r="F18" s="52" t="s">
        <v>163</v>
      </c>
      <c r="G18" s="52" t="s">
        <v>161</v>
      </c>
      <c r="H18" s="56" t="s">
        <v>189</v>
      </c>
    </row>
    <row r="19" spans="1:8" ht="38.25" customHeight="1">
      <c r="A19" s="52">
        <v>16</v>
      </c>
      <c r="B19" s="52"/>
      <c r="C19" s="60" t="s">
        <v>139</v>
      </c>
      <c r="D19" s="63"/>
      <c r="E19" s="64">
        <v>46109</v>
      </c>
      <c r="F19" s="52" t="s">
        <v>161</v>
      </c>
      <c r="G19" s="52" t="s">
        <v>161</v>
      </c>
      <c r="H19" s="57" t="s">
        <v>172</v>
      </c>
    </row>
    <row r="20" spans="1:8" ht="38.25" customHeight="1">
      <c r="A20" s="52">
        <v>17</v>
      </c>
      <c r="B20" s="52"/>
      <c r="C20" s="60" t="s">
        <v>140</v>
      </c>
      <c r="D20" s="61"/>
      <c r="E20" s="64">
        <v>46109</v>
      </c>
      <c r="F20" s="52" t="s">
        <v>161</v>
      </c>
      <c r="G20" s="52" t="s">
        <v>161</v>
      </c>
      <c r="H20" s="57" t="s">
        <v>171</v>
      </c>
    </row>
    <row r="21" spans="1:8" ht="38.25" customHeight="1">
      <c r="A21" s="52">
        <v>18</v>
      </c>
      <c r="B21" s="52"/>
      <c r="C21" s="60" t="s">
        <v>141</v>
      </c>
      <c r="D21" s="61"/>
      <c r="E21" s="59">
        <v>46121</v>
      </c>
      <c r="F21" s="52" t="s">
        <v>161</v>
      </c>
      <c r="G21" s="52" t="s">
        <v>161</v>
      </c>
      <c r="H21" s="57" t="s">
        <v>170</v>
      </c>
    </row>
    <row r="22" spans="1:8" ht="38.25" customHeight="1">
      <c r="A22" s="52">
        <v>19</v>
      </c>
      <c r="B22" s="52"/>
      <c r="C22" s="60" t="s">
        <v>142</v>
      </c>
      <c r="D22" s="63"/>
      <c r="E22" s="59">
        <v>46121</v>
      </c>
      <c r="F22" s="52" t="s">
        <v>161</v>
      </c>
      <c r="G22" s="52" t="s">
        <v>161</v>
      </c>
      <c r="H22" s="57" t="s">
        <v>169</v>
      </c>
    </row>
    <row r="23" spans="1:8" ht="36" customHeight="1">
      <c r="A23" s="52">
        <v>20</v>
      </c>
      <c r="B23" s="52"/>
      <c r="C23" s="60" t="s">
        <v>143</v>
      </c>
      <c r="D23" s="64"/>
      <c r="E23" s="59">
        <v>46147</v>
      </c>
      <c r="F23" s="52" t="s">
        <v>163</v>
      </c>
      <c r="G23" s="52" t="s">
        <v>163</v>
      </c>
      <c r="H23" s="57" t="s">
        <v>123</v>
      </c>
    </row>
    <row r="24" spans="1:8" ht="31.5" customHeight="1">
      <c r="A24" s="52">
        <v>21</v>
      </c>
      <c r="B24" s="52"/>
      <c r="C24" s="60" t="s">
        <v>144</v>
      </c>
      <c r="D24" s="61"/>
      <c r="E24" s="59">
        <v>46160</v>
      </c>
      <c r="F24" s="52" t="s">
        <v>162</v>
      </c>
      <c r="G24" s="52" t="s">
        <v>162</v>
      </c>
      <c r="H24" s="57" t="s">
        <v>123</v>
      </c>
    </row>
    <row r="25" spans="1:8" ht="33" customHeight="1">
      <c r="A25" s="52">
        <v>22</v>
      </c>
      <c r="B25" s="52"/>
      <c r="C25" s="60" t="s">
        <v>145</v>
      </c>
      <c r="D25" s="61"/>
      <c r="E25" s="59">
        <v>46166</v>
      </c>
      <c r="F25" s="52" t="s">
        <v>161</v>
      </c>
      <c r="G25" s="52" t="s">
        <v>161</v>
      </c>
      <c r="H25" s="57" t="s">
        <v>168</v>
      </c>
    </row>
    <row r="26" spans="1:8" ht="79.5" customHeight="1">
      <c r="A26" s="52">
        <v>23</v>
      </c>
      <c r="B26" s="52"/>
      <c r="C26" s="65" t="s">
        <v>146</v>
      </c>
      <c r="D26" s="66"/>
      <c r="E26" s="67">
        <v>46176</v>
      </c>
      <c r="F26" s="52" t="s">
        <v>187</v>
      </c>
      <c r="G26" s="52" t="s">
        <v>164</v>
      </c>
      <c r="H26" s="68" t="s">
        <v>123</v>
      </c>
    </row>
    <row r="27" spans="1:8" ht="57.75" customHeight="1">
      <c r="A27" s="52">
        <v>24</v>
      </c>
      <c r="B27" s="52"/>
      <c r="C27" s="65" t="s">
        <v>147</v>
      </c>
      <c r="D27" s="69"/>
      <c r="E27" s="67">
        <v>46192</v>
      </c>
      <c r="F27" s="52" t="s">
        <v>185</v>
      </c>
      <c r="G27" s="52" t="s">
        <v>186</v>
      </c>
      <c r="H27" s="68" t="s">
        <v>123</v>
      </c>
    </row>
    <row r="28" spans="1:8" ht="108" customHeight="1">
      <c r="A28" s="52">
        <v>25</v>
      </c>
      <c r="B28" s="52"/>
      <c r="C28" s="70" t="s">
        <v>148</v>
      </c>
      <c r="D28" s="66"/>
      <c r="E28" s="67">
        <v>46204</v>
      </c>
      <c r="F28" s="52" t="s">
        <v>187</v>
      </c>
      <c r="G28" s="52" t="s">
        <v>164</v>
      </c>
      <c r="H28" s="68" t="s">
        <v>123</v>
      </c>
    </row>
    <row r="29" spans="1:8" ht="89.25" customHeight="1">
      <c r="A29" s="52">
        <v>26</v>
      </c>
      <c r="B29" s="52"/>
      <c r="C29" s="65" t="s">
        <v>150</v>
      </c>
      <c r="D29" s="66"/>
      <c r="E29" s="67">
        <v>46210</v>
      </c>
      <c r="F29" s="52" t="s">
        <v>187</v>
      </c>
      <c r="G29" s="52" t="s">
        <v>164</v>
      </c>
      <c r="H29" s="68" t="s">
        <v>123</v>
      </c>
    </row>
    <row r="30" spans="1:8" ht="107.25" customHeight="1">
      <c r="A30" s="52">
        <v>27</v>
      </c>
      <c r="B30" s="52"/>
      <c r="C30" s="71" t="s">
        <v>190</v>
      </c>
      <c r="D30" s="66" t="s">
        <v>194</v>
      </c>
      <c r="E30" s="72">
        <v>46213</v>
      </c>
      <c r="F30" s="52" t="s">
        <v>187</v>
      </c>
      <c r="G30" s="52" t="s">
        <v>164</v>
      </c>
      <c r="H30" s="68" t="s">
        <v>123</v>
      </c>
    </row>
    <row r="31" spans="1:8" ht="69.75" customHeight="1">
      <c r="A31" s="52">
        <v>28</v>
      </c>
      <c r="B31" s="52"/>
      <c r="C31" s="70" t="s">
        <v>149</v>
      </c>
      <c r="D31" s="66"/>
      <c r="E31" s="67">
        <v>46217</v>
      </c>
      <c r="F31" s="52" t="s">
        <v>184</v>
      </c>
      <c r="G31" s="52" t="s">
        <v>164</v>
      </c>
      <c r="H31" s="68" t="s">
        <v>123</v>
      </c>
    </row>
    <row r="32" spans="1:8" ht="74.25" customHeight="1">
      <c r="A32" s="52">
        <v>29</v>
      </c>
      <c r="B32" s="52"/>
      <c r="C32" s="65" t="s">
        <v>151</v>
      </c>
      <c r="D32" s="66"/>
      <c r="E32" s="67">
        <v>46218</v>
      </c>
      <c r="F32" s="52" t="s">
        <v>161</v>
      </c>
      <c r="G32" s="52" t="s">
        <v>161</v>
      </c>
      <c r="H32" s="68" t="s">
        <v>183</v>
      </c>
    </row>
    <row r="33" spans="1:8" ht="77.25" customHeight="1">
      <c r="A33" s="52">
        <v>30</v>
      </c>
      <c r="B33" s="52"/>
      <c r="C33" s="65" t="s">
        <v>152</v>
      </c>
      <c r="D33" s="69"/>
      <c r="E33" s="67">
        <v>46228</v>
      </c>
      <c r="F33" s="52" t="s">
        <v>161</v>
      </c>
      <c r="G33" s="52" t="s">
        <v>161</v>
      </c>
      <c r="H33" s="68" t="s">
        <v>183</v>
      </c>
    </row>
    <row r="34" spans="1:8" ht="77.25" customHeight="1">
      <c r="A34" s="52">
        <v>31</v>
      </c>
      <c r="B34" s="52"/>
      <c r="C34" s="65" t="s">
        <v>153</v>
      </c>
      <c r="D34" s="69"/>
      <c r="E34" s="67">
        <v>46244</v>
      </c>
      <c r="F34" s="52" t="s">
        <v>187</v>
      </c>
      <c r="G34" s="52" t="s">
        <v>164</v>
      </c>
      <c r="H34" s="68" t="s">
        <v>123</v>
      </c>
    </row>
    <row r="35" spans="1:8" ht="77.25" customHeight="1">
      <c r="A35" s="52">
        <v>32</v>
      </c>
      <c r="B35" s="52"/>
      <c r="C35" s="70" t="s">
        <v>154</v>
      </c>
      <c r="D35" s="66"/>
      <c r="E35" s="69">
        <v>46265</v>
      </c>
      <c r="F35" s="52" t="s">
        <v>187</v>
      </c>
      <c r="G35" s="52" t="s">
        <v>164</v>
      </c>
      <c r="H35" s="68" t="s">
        <v>123</v>
      </c>
    </row>
    <row r="36" spans="1:8" ht="77.25" customHeight="1">
      <c r="A36" s="52">
        <v>33</v>
      </c>
      <c r="B36" s="52"/>
      <c r="C36" s="65" t="s">
        <v>155</v>
      </c>
      <c r="D36" s="66" t="s">
        <v>195</v>
      </c>
      <c r="E36" s="69">
        <v>46264</v>
      </c>
      <c r="F36" s="52" t="s">
        <v>187</v>
      </c>
      <c r="G36" s="52" t="s">
        <v>164</v>
      </c>
      <c r="H36" s="68" t="s">
        <v>123</v>
      </c>
    </row>
    <row r="37" spans="1:8" ht="77.25" customHeight="1">
      <c r="A37" s="52">
        <v>34</v>
      </c>
      <c r="B37" s="52"/>
      <c r="C37" s="65" t="s">
        <v>156</v>
      </c>
      <c r="D37" s="69"/>
      <c r="E37" s="67">
        <v>46281</v>
      </c>
      <c r="F37" s="52" t="s">
        <v>187</v>
      </c>
      <c r="G37" s="52" t="s">
        <v>164</v>
      </c>
      <c r="H37" s="68" t="s">
        <v>123</v>
      </c>
    </row>
    <row r="38" spans="1:8" ht="77.25" customHeight="1">
      <c r="A38" s="52">
        <v>35</v>
      </c>
      <c r="B38" s="52"/>
      <c r="C38" s="65" t="s">
        <v>157</v>
      </c>
      <c r="D38" s="69"/>
      <c r="E38" s="67">
        <v>46325</v>
      </c>
      <c r="F38" s="52" t="s">
        <v>187</v>
      </c>
      <c r="G38" s="52" t="s">
        <v>164</v>
      </c>
      <c r="H38" s="68" t="s">
        <v>123</v>
      </c>
    </row>
    <row r="39" spans="1:8" ht="77.25" customHeight="1">
      <c r="A39" s="52">
        <v>36</v>
      </c>
      <c r="B39" s="52"/>
      <c r="C39" s="65" t="s">
        <v>158</v>
      </c>
      <c r="D39" s="69"/>
      <c r="E39" s="67">
        <v>46329</v>
      </c>
      <c r="F39" s="52" t="s">
        <v>164</v>
      </c>
      <c r="G39" s="52" t="s">
        <v>164</v>
      </c>
      <c r="H39" s="68" t="s">
        <v>123</v>
      </c>
    </row>
    <row r="40" spans="1:8" ht="77.25" customHeight="1">
      <c r="A40" s="52">
        <v>37</v>
      </c>
      <c r="B40" s="52"/>
      <c r="C40" s="70" t="s">
        <v>159</v>
      </c>
      <c r="D40" s="73"/>
      <c r="E40" s="67">
        <v>46333</v>
      </c>
      <c r="F40" s="52" t="s">
        <v>187</v>
      </c>
      <c r="G40" s="52" t="s">
        <v>164</v>
      </c>
      <c r="H40" s="68" t="s">
        <v>123</v>
      </c>
    </row>
    <row r="41" spans="1:8" ht="83.25" customHeight="1">
      <c r="A41" s="52">
        <v>38</v>
      </c>
      <c r="B41" s="52"/>
      <c r="C41" s="65" t="s">
        <v>160</v>
      </c>
      <c r="D41" s="73"/>
      <c r="E41" s="67">
        <v>46356</v>
      </c>
      <c r="F41" s="52" t="s">
        <v>187</v>
      </c>
      <c r="G41" s="52" t="s">
        <v>164</v>
      </c>
      <c r="H41" s="68" t="s">
        <v>123</v>
      </c>
    </row>
    <row r="42" spans="1:8" ht="83.25" customHeight="1">
      <c r="A42" s="52">
        <v>39</v>
      </c>
      <c r="B42" s="52"/>
      <c r="C42" s="70" t="s">
        <v>191</v>
      </c>
      <c r="D42" s="73"/>
      <c r="E42" s="72">
        <v>46367</v>
      </c>
      <c r="F42" s="52" t="s">
        <v>187</v>
      </c>
      <c r="G42" s="52" t="s">
        <v>164</v>
      </c>
      <c r="H42" s="68" t="s">
        <v>123</v>
      </c>
    </row>
  </sheetData>
  <mergeCells count="8">
    <mergeCell ref="A1:H1"/>
    <mergeCell ref="A2:A3"/>
    <mergeCell ref="C2:C3"/>
    <mergeCell ref="D2:D3"/>
    <mergeCell ref="E2:E3"/>
    <mergeCell ref="F2:G2"/>
    <mergeCell ref="H2:H3"/>
    <mergeCell ref="B2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Compulsory 2024</vt:lpstr>
      <vt:lpstr>Compulsory 2026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</dc:creator>
  <cp:lastModifiedBy>Prem 6402</cp:lastModifiedBy>
  <cp:lastPrinted>2025-02-16T00:48:26Z</cp:lastPrinted>
  <dcterms:created xsi:type="dcterms:W3CDTF">2022-11-17T08:15:00Z</dcterms:created>
  <dcterms:modified xsi:type="dcterms:W3CDTF">2026-07-30T00:37:36Z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EFBA8C9F094542ADACD2B04856D6E8E8</vt:lpwstr>
  </property>
  <property fmtid="{D5CDD505-2E9C-101B-9397-08002B2CF9AE}" pid="3" name="KSOProductBuildVer">
    <vt:lpwstr>1033-11.2.0.11537</vt:lpwstr>
  </property>
  <property fmtid="{D5CDD505-2E9C-101B-9397-08002B2CF9AE}" pid="4" name="KSOReadingLayout">
    <vt:bool>true</vt:bool>
  </property>
</Properties>
</file>