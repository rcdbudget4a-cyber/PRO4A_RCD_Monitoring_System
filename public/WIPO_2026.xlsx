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FERENCE\Desktop\KIPO WIPO RETIREES\"/>
    </mc:Choice>
  </mc:AlternateContent>
  <xr:revisionPtr revIDLastSave="0" documentId="13_ncr:1_{21024477-1381-4CAE-BF8D-2BEC51E328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IPO 2026" sheetId="11" r:id="rId1"/>
    <sheet name="List" sheetId="3" state="hidden" r:id="rId2"/>
    <sheet name="K" sheetId="4" state="hidden" r:id="rId3"/>
    <sheet name="W" sheetId="5" state="hidden" r:id="rId4"/>
    <sheet name="Sheet1" sheetId="6" state="hidden" r:id="rId5"/>
    <sheet name="wipo 1st sem" sheetId="7" state="hidden" r:id="rId6"/>
    <sheet name="kipo 1st sem" sheetId="8" state="hidden" r:id="rId7"/>
    <sheet name="posthumous promotion" sheetId="9" state="hidden" r:id="rId8"/>
  </sheets>
  <definedNames>
    <definedName name="_xlnm._FilterDatabase" localSheetId="0" hidden="1">'WIPO 2026'!$A$6:$M$19</definedName>
    <definedName name="_xlnm.Print_Area" localSheetId="0">'WIPO 2026'!$A$1:$M$19</definedName>
    <definedName name="_xlnm.Print_Titles" localSheetId="0">'WIPO 2026'!$2:$6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7" l="1"/>
  <c r="D25" i="7"/>
  <c r="E18" i="9"/>
  <c r="C18" i="9"/>
</calcChain>
</file>

<file path=xl/sharedStrings.xml><?xml version="1.0" encoding="utf-8"?>
<sst xmlns="http://schemas.openxmlformats.org/spreadsheetml/2006/main" count="1081" uniqueCount="448">
  <si>
    <t xml:space="preserve"> from July 1, 2016 - present</t>
  </si>
  <si>
    <t xml:space="preserve">No. </t>
  </si>
  <si>
    <t>NAME</t>
  </si>
  <si>
    <t>UNIT</t>
  </si>
  <si>
    <t>DOI</t>
  </si>
  <si>
    <t>PNP</t>
  </si>
  <si>
    <t>NAPOLCOM</t>
  </si>
  <si>
    <t>PSMBFI</t>
  </si>
  <si>
    <t>Comprehensive Social Benefits Program (CSBP)</t>
  </si>
  <si>
    <t>CSC</t>
  </si>
  <si>
    <t>Others</t>
  </si>
  <si>
    <t>Total of Legal Benefits</t>
  </si>
  <si>
    <t>REMARKS</t>
  </si>
  <si>
    <t>SFA RA 6963</t>
  </si>
  <si>
    <t>CAL</t>
  </si>
  <si>
    <t>Monthly Pension</t>
  </si>
  <si>
    <t>Total</t>
  </si>
  <si>
    <t>Promotion</t>
  </si>
  <si>
    <t>Awards</t>
  </si>
  <si>
    <t>Gratuity</t>
  </si>
  <si>
    <t>Burial</t>
  </si>
  <si>
    <t>Pension</t>
  </si>
  <si>
    <t>Scholarship</t>
  </si>
  <si>
    <t>PSMBFI- SGTI</t>
  </si>
  <si>
    <t>PSF-SFA</t>
  </si>
  <si>
    <t>NHA</t>
  </si>
  <si>
    <t>Educ Asst.</t>
  </si>
  <si>
    <t>Phil Health</t>
  </si>
  <si>
    <t>PLBA</t>
  </si>
  <si>
    <t>PSI GARCIA, MARK</t>
  </si>
  <si>
    <t>PRO 4A/ Rizal PPO</t>
  </si>
  <si>
    <t>Augst 19, 2016</t>
  </si>
  <si>
    <t xml:space="preserve">Received Php 13,513.51 Cash donation from Filipino community in Indonesia last March 27, 2017 </t>
  </si>
  <si>
    <t>PRO 4A/ Cavite PPO</t>
  </si>
  <si>
    <t>PRO 4A/ Batangas PPO</t>
  </si>
  <si>
    <t>PRO 4A/ Laguna PPO</t>
  </si>
  <si>
    <t xml:space="preserve">Recapitulation (KIPO): </t>
  </si>
  <si>
    <t>Unit/Office</t>
  </si>
  <si>
    <t>Nr</t>
  </si>
  <si>
    <t>Cavite</t>
  </si>
  <si>
    <t>Laguna</t>
  </si>
  <si>
    <t>Batangas</t>
  </si>
  <si>
    <t>Rizal</t>
  </si>
  <si>
    <t>TOTAL</t>
  </si>
  <si>
    <t>Other Benefits</t>
  </si>
  <si>
    <t>Name of PNP Personnel</t>
  </si>
  <si>
    <t>Unit</t>
  </si>
  <si>
    <t>Date Of Incident</t>
  </si>
  <si>
    <t>Type of Injury</t>
  </si>
  <si>
    <t>SGTI/PSMBFI</t>
  </si>
  <si>
    <t>RHE</t>
  </si>
  <si>
    <t>Promotion/Awards (Spot/Special/Meritorious)</t>
  </si>
  <si>
    <t>Status (If Turned to TPPD)</t>
  </si>
  <si>
    <t>PO1 Delos Santos, Teddy Palaquia Jr</t>
  </si>
  <si>
    <t>July 3, 2016</t>
  </si>
  <si>
    <t>Major</t>
  </si>
  <si>
    <t>Awarded Medalya ng Sugatang Magiting</t>
  </si>
  <si>
    <t>Not Recommended</t>
  </si>
  <si>
    <t>SPO1 Lacasa, Roberto Odon</t>
  </si>
  <si>
    <t>August 10, 2016</t>
  </si>
  <si>
    <t>PO3 Berbon, Lomar A</t>
  </si>
  <si>
    <t>October 28, 2016</t>
  </si>
  <si>
    <t>PO3 Tadle, Jeffrey DG</t>
  </si>
  <si>
    <t>Minor</t>
  </si>
  <si>
    <t>PO1 Vicente, Chuck V.</t>
  </si>
  <si>
    <t>PO1 Cañeso, Paulo R.</t>
  </si>
  <si>
    <t>PO1 Sitay, Peter John</t>
  </si>
  <si>
    <t>October 1, 2016</t>
  </si>
  <si>
    <t>PO2 Hacutina, Noel Jr</t>
  </si>
  <si>
    <t>November 3, 2016</t>
  </si>
  <si>
    <t>PO1 Solpico, Ralph Marvin John</t>
  </si>
  <si>
    <t>January 13, 2017</t>
  </si>
  <si>
    <t>PO1 Ramos, Jeremias</t>
  </si>
  <si>
    <t>January 22, 2017</t>
  </si>
  <si>
    <t>PO2 Bago,  Jay Mark Del Mundo</t>
  </si>
  <si>
    <t>March 11, 2017</t>
  </si>
  <si>
    <t>PO2 Ilao,  Jimmy Guevarra</t>
  </si>
  <si>
    <t>April 13, 2017</t>
  </si>
  <si>
    <t>PO1 Martinez, Joseph Segucio</t>
  </si>
  <si>
    <t>SPO1 Tagara, Alnor De Vera</t>
  </si>
  <si>
    <t>PRO 4A/ Quezon PPO</t>
  </si>
  <si>
    <t>May 6, 2017</t>
  </si>
  <si>
    <t>PO2 Barros, Renante Carpena</t>
  </si>
  <si>
    <t>PO2 Valdepeña, Arnel Condes</t>
  </si>
  <si>
    <t>PO1 Andaya, Jan Ryan Ramos</t>
  </si>
  <si>
    <t>PO2 Leonida, Aldrin Caranza</t>
  </si>
  <si>
    <t>May 17, 2017</t>
  </si>
  <si>
    <t>PO1 Himor, Bong Andal</t>
  </si>
  <si>
    <t>PO1 Arinton, Roydahn A</t>
  </si>
  <si>
    <t>PO2 Luce, Jeffrey Gagaoin</t>
  </si>
  <si>
    <t xml:space="preserve">PO2  Cambia, Ellean Barbosa </t>
  </si>
  <si>
    <t>October 11, 2017</t>
  </si>
  <si>
    <t>November 23, 2017</t>
  </si>
  <si>
    <t>Quezon</t>
  </si>
  <si>
    <t>January 28, 2018</t>
  </si>
  <si>
    <t>PO1 Namuco, Jaymel Baaco</t>
  </si>
  <si>
    <t>October 1, 2017</t>
  </si>
  <si>
    <t xml:space="preserve">PO1 Randolph Dela Cruz Hizon </t>
  </si>
  <si>
    <t xml:space="preserve">PSINSP ALVIN RUECA KISON </t>
  </si>
  <si>
    <t xml:space="preserve">SPO2 Edilberto Aclan Eje </t>
  </si>
  <si>
    <t>April 5, 2018</t>
  </si>
  <si>
    <t>February 15, 2018</t>
  </si>
  <si>
    <t>March 18, 2018</t>
  </si>
  <si>
    <t>March 12, 2018</t>
  </si>
  <si>
    <t>March 25, 2018</t>
  </si>
  <si>
    <t>PO1 Ma. Zarah Baliton Andal</t>
  </si>
  <si>
    <t>April 10, 2018</t>
  </si>
  <si>
    <t>Medalya ng kadakilaan</t>
  </si>
  <si>
    <t>February 21, 2018</t>
  </si>
  <si>
    <t>Did not file as of this date</t>
  </si>
  <si>
    <t xml:space="preserve">C,PNP- Php 100,000.00
PD QPPO &amp; LADIES-Php50,000.00
LGU Candelaria-Php 140,000.00
COP Candelaria-Php 50,000.00
RHQ-Php4,000.00
</t>
  </si>
  <si>
    <t>PRO 4A/ RizalPPO</t>
  </si>
  <si>
    <t>February 7, 2018</t>
  </si>
  <si>
    <t>submitted folder to CSC Main Office, Region 4A on May 2, 2018</t>
  </si>
  <si>
    <t>April 11, 2018</t>
  </si>
  <si>
    <t>Php20,000.00</t>
  </si>
  <si>
    <t>On going processing by NHA</t>
  </si>
  <si>
    <t>Enrolled</t>
  </si>
  <si>
    <t>December 19, 2017</t>
  </si>
  <si>
    <t>July 3, 2017</t>
  </si>
  <si>
    <t>for enrollment</t>
  </si>
  <si>
    <t xml:space="preserve">Granted Educational Assistance </t>
  </si>
  <si>
    <t>Php423,744.00 (January 24, 2017)</t>
  </si>
  <si>
    <t>Php105,936.00 (January 24, 2017)</t>
  </si>
  <si>
    <t xml:space="preserve">Php28,249.60 (January </t>
  </si>
  <si>
    <t>not entitled of pension</t>
  </si>
  <si>
    <t>Php149,403.00 (May 10, 2018)</t>
  </si>
  <si>
    <t>No beneficiaries</t>
  </si>
  <si>
    <t>submitted requirements</t>
  </si>
  <si>
    <t>SPO3 Nelson Ramos</t>
  </si>
  <si>
    <t>June 23, 2018</t>
  </si>
  <si>
    <t>June 1, 2018</t>
  </si>
  <si>
    <t>SPO1 Carlo Gabuod Cantanero</t>
  </si>
  <si>
    <t>February 9, 2018</t>
  </si>
  <si>
    <t xml:space="preserve">SPO1 Joel Betoio Carayacay </t>
  </si>
  <si>
    <t>July 25, 2018</t>
  </si>
  <si>
    <t>SPO1 Edwin Jacob Pasion</t>
  </si>
  <si>
    <t>PO2 Eric Ferrer Sagun</t>
  </si>
  <si>
    <t>August 19,  2017</t>
  </si>
  <si>
    <t>August 26,  2017</t>
  </si>
  <si>
    <t>Submitted folder  to MWD (August 13, 2018)</t>
  </si>
  <si>
    <t>Submitted folder (for hearing)</t>
  </si>
  <si>
    <t>Forwarded to ODESFA (August 7, 2018)</t>
  </si>
  <si>
    <t>For deliberation (Batch 53)</t>
  </si>
  <si>
    <t>PO3 Alexis Herrera Mendoza</t>
  </si>
  <si>
    <t>August 25, 2018</t>
  </si>
  <si>
    <t>May 5, 2018</t>
  </si>
  <si>
    <t>PO3 Mark Raymond Ugalino Cabesuela</t>
  </si>
  <si>
    <t>September 4, 2018</t>
  </si>
  <si>
    <t>SPO1 Johnathan Mendoza Malaluan</t>
  </si>
  <si>
    <t xml:space="preserve">Minor </t>
  </si>
  <si>
    <t>Submitted folder  to MWD (September 12, 2018)</t>
  </si>
  <si>
    <t>October 10, 2018</t>
  </si>
  <si>
    <t>PO1 Stanley Manalwap Gawon</t>
  </si>
  <si>
    <t>submitted to MWD</t>
  </si>
  <si>
    <t>PRO 4A/ Cavite, PPO</t>
  </si>
  <si>
    <t>Submitted folder  to MWD (October  29, 2018)</t>
  </si>
  <si>
    <t>Adjudicated, waiting for DBM funds</t>
  </si>
  <si>
    <t xml:space="preserve">Enrolled Ms Evelyn Custodio </t>
  </si>
  <si>
    <t>Individually paying individual</t>
  </si>
  <si>
    <t>November 7, 2018</t>
  </si>
  <si>
    <t>November 10, 2018</t>
  </si>
  <si>
    <t xml:space="preserve">PO3 Danilo Sagun Piol </t>
  </si>
  <si>
    <t xml:space="preserve">Did not file for RHE claim </t>
  </si>
  <si>
    <t>December 28, 2018</t>
  </si>
  <si>
    <t>Submitted folder  to MWD (December 19, 2018)</t>
  </si>
  <si>
    <t>Php500,000 (1st tranche: June 30, 2017; 2nd tranche: July 28, 2017)</t>
  </si>
  <si>
    <t xml:space="preserve">Php250,000 (1st Tranche: September 3, 2018) </t>
  </si>
  <si>
    <t>PO3 John Melver Casquejo Leyco</t>
  </si>
  <si>
    <t>PRO 4A/ Batangas, PPO</t>
  </si>
  <si>
    <t>January 25, 2019</t>
  </si>
  <si>
    <t>PO1 Joseph Ortega Tan</t>
  </si>
  <si>
    <t>February 1, 2019</t>
  </si>
  <si>
    <t>PO3 Anderson Orozco Abary</t>
  </si>
  <si>
    <t>Did not file for RHE claim (out patient)</t>
  </si>
  <si>
    <t>PO3 Emiliano Felix Pantaleon Jr</t>
  </si>
  <si>
    <t xml:space="preserve">PO1 Elueterio Atayde Mina Jr </t>
  </si>
  <si>
    <t>PO3 Gerry A Moises</t>
  </si>
  <si>
    <t>February 13, 2019</t>
  </si>
  <si>
    <t>Submitted folder  to MWD (February 12, 2019)</t>
  </si>
  <si>
    <t>Submitted folder to MWD (February 15, 2019)</t>
  </si>
  <si>
    <t>Submitted folder  to MWD (March 6, 2018)</t>
  </si>
  <si>
    <t>submitted folder to MWD, ODPRM (February 26, 2019)</t>
  </si>
  <si>
    <t>submitted folder to MWD, ODPRM (March 1, 2019)</t>
  </si>
  <si>
    <t>Submitted folder to MWD (March 13, 2019)</t>
  </si>
  <si>
    <t>For submission to MWD (March 18, 2019)</t>
  </si>
  <si>
    <t>On Process</t>
  </si>
  <si>
    <t>PO1 Alric M Natividad</t>
  </si>
  <si>
    <t>PRO 4A/ 
Laguna PPO</t>
  </si>
  <si>
    <t>March 24, 2019</t>
  </si>
  <si>
    <t>February 7, 2019</t>
  </si>
  <si>
    <t>Submitted folder at NAPOLCOM
4-2-19</t>
  </si>
  <si>
    <t>Submitted folder to MWD (April 4, 2019</t>
  </si>
  <si>
    <t>Submitted folder to PRBS (Apri 5, 2019</t>
  </si>
  <si>
    <t>Received Php233,000.00 (April 17, 2018)</t>
  </si>
  <si>
    <t xml:space="preserve">Received Php 1,137,731 </t>
  </si>
  <si>
    <t xml:space="preserve">Received Php 126,000 </t>
  </si>
  <si>
    <t>Received Php392,288.33 (May 8 and 17, 2018)</t>
  </si>
  <si>
    <t>Received Php303,705.00 (May 8, 2018)</t>
  </si>
  <si>
    <t>ReceivedPhp453,824.44 (Sept. 7, 2018)</t>
  </si>
  <si>
    <t>ReceivedPhp27,390.55 (Aug. 9, 2018)</t>
  </si>
  <si>
    <t>ReceivedPhp899.924.20 (Sept. 12, 2018)</t>
  </si>
  <si>
    <t>ReceivedPhp22,679.58 (Sept. 3, 2018)</t>
  </si>
  <si>
    <t>ReceivedPhp134,942.73 (Nov. 22, 2018)</t>
  </si>
  <si>
    <t>ReceivedPhp14,834.00 (Nov. 16, 2018)</t>
  </si>
  <si>
    <t>Received Php290,226.33
April 3, 2019</t>
  </si>
  <si>
    <t>Received Php383,645.99 (April 24, 2017)</t>
  </si>
  <si>
    <t>Received Php274,898.00
April 5, 2019</t>
  </si>
  <si>
    <t>Received Initial Php802,705.2
RECEIVED FULL CLAIM (P802,745.20) 1/3/2016</t>
  </si>
  <si>
    <t>Received Php42,000.00 SGTI claim (September 11, 2018)
Not Member</t>
  </si>
  <si>
    <t xml:space="preserve">Received initial claim of Php250,000.00. 
Received full claim of Php525,000.00 (September 12, 2018) </t>
  </si>
  <si>
    <t>Received initial claim of Php340,000.00. 
Received Full Claim Php754,740.64
8/16/19</t>
  </si>
  <si>
    <t>Received initial claim of Php121,000.00 (January 31, 2019) 
Submitted Documents 4/12/2019</t>
  </si>
  <si>
    <t>Received initial claim of Php121,000.00 (February 8, 2019) 
Submitted Documents
4/1/2019</t>
  </si>
  <si>
    <t>Awarded 
Tiaong, Quezon</t>
  </si>
  <si>
    <t>PO1 Raymark Babasa Balmes</t>
  </si>
  <si>
    <t>PRO 4A/ 
Cavite PPO</t>
  </si>
  <si>
    <t>Submitted folder to MWD (March 18, 2019)</t>
  </si>
  <si>
    <t>Pat Ariel Ingosan Dapyawen</t>
  </si>
  <si>
    <t>PRO 4A/ Rizal, PPO</t>
  </si>
  <si>
    <t xml:space="preserve">Received initial claim of Php121,000.00 (April 23, 2019) 
</t>
  </si>
  <si>
    <t>PSSg Joseph Dolosa Monjardin</t>
  </si>
  <si>
    <t>February 22. 2019</t>
  </si>
  <si>
    <t>Apil 23, 2019</t>
  </si>
  <si>
    <t>Pat Emidio Binarao Carag</t>
  </si>
  <si>
    <t>Apil 25, 2019</t>
  </si>
  <si>
    <t>Submitted folder  to MWD (March 13, 2019)</t>
  </si>
  <si>
    <t>Submitted folder  to MWD (April 23, 2019)</t>
  </si>
  <si>
    <t>Submitted folder  to MWD (April 10, 2019)</t>
  </si>
  <si>
    <t>Received Php274,148.00
May  15, 2019</t>
  </si>
  <si>
    <t>Submitted folder to PRBS (April 29, 2019</t>
  </si>
  <si>
    <t>Submitted folder to PRBS (May 27, 2019</t>
  </si>
  <si>
    <t>Submitted folder  to MWD (May 17, 2019)</t>
  </si>
  <si>
    <t>Submitted folder to MWD (May 27, 2019</t>
  </si>
  <si>
    <t>submitted folder to MWD, ODPRM (May 26, 2019)</t>
  </si>
  <si>
    <t>Submitted folder  to MWD (May 23, 2019)</t>
  </si>
  <si>
    <t>PO1 Jeffrey Aradia Orlanes</t>
  </si>
  <si>
    <t>PRO 4A/ CAVITE PPO</t>
  </si>
  <si>
    <t>PRO 4A/ RMFB 4A</t>
  </si>
  <si>
    <t>PO1 Closa,Bernie Sumagpang</t>
  </si>
  <si>
    <t xml:space="preserve">SPO3 Ramos, Nelson </t>
  </si>
  <si>
    <t xml:space="preserve">PO3 Mendoza, Alexis Herrera </t>
  </si>
  <si>
    <t xml:space="preserve">SPO1 Malaluan, Johnathan Mendoza </t>
  </si>
  <si>
    <t xml:space="preserve">PO3 Cabesuela, Mark Raymond Ugalino </t>
  </si>
  <si>
    <t xml:space="preserve">PO3 Villegas, Ronald Mabalot </t>
  </si>
  <si>
    <t xml:space="preserve">SPO2 Sabater, Wilfredo M </t>
  </si>
  <si>
    <t xml:space="preserve">PO1 Vergel, Ashley Antonio </t>
  </si>
  <si>
    <t xml:space="preserve">PO1 Tallud, Leo Taguinod  jr </t>
  </si>
  <si>
    <t xml:space="preserve">PO1 Gawon, Stanley Manalwap </t>
  </si>
  <si>
    <t xml:space="preserve">PO3 Carangalan, Dario Oracion </t>
  </si>
  <si>
    <t xml:space="preserve">PO1 Bawalas, Jose Rizal Reyes </t>
  </si>
  <si>
    <t xml:space="preserve">PO1 Balmes, Raymark Babasa </t>
  </si>
  <si>
    <t xml:space="preserve">PO1 Semania, Michael </t>
  </si>
  <si>
    <t xml:space="preserve">Pat Carag, Emidio Binarao </t>
  </si>
  <si>
    <t xml:space="preserve">PO2 Maranan, Edmond Divina </t>
  </si>
  <si>
    <t xml:space="preserve">PO1 Hizon, Randolph Dela Cruz  </t>
  </si>
  <si>
    <t xml:space="preserve">PO1 Divinagracia, Rex R </t>
  </si>
  <si>
    <t xml:space="preserve">SPO1 Garcia, Jerome Durog </t>
  </si>
  <si>
    <t xml:space="preserve">PO3 Piol , Danilo Sagun </t>
  </si>
  <si>
    <t xml:space="preserve">PO3 Abary, Anderson Orozco </t>
  </si>
  <si>
    <t xml:space="preserve">PO1 Natividad, Alric M </t>
  </si>
  <si>
    <t xml:space="preserve">SPO1 Delos Reyes, Edzel Salvaña </t>
  </si>
  <si>
    <t xml:space="preserve">PO1 Salvosa, Arnold Peñamante  </t>
  </si>
  <si>
    <t xml:space="preserve">PO1 Agarao, Andro Bequillo  </t>
  </si>
  <si>
    <t xml:space="preserve">PO1 Mendoza, January De Ramos 
</t>
  </si>
  <si>
    <t xml:space="preserve">PO1 Villaflor, Jun Jun Jabola  
</t>
  </si>
  <si>
    <t xml:space="preserve">PO3 Moises, Gerry A </t>
  </si>
  <si>
    <t xml:space="preserve">SPO1 Asoy, John Ashley Pardillo </t>
  </si>
  <si>
    <t xml:space="preserve">PO2 Fang-asan, Manuel Masegman </t>
  </si>
  <si>
    <t xml:space="preserve">PO2 Talupa, Jummy Dulnuan </t>
  </si>
  <si>
    <t xml:space="preserve">PO3 Sinampan, Allan Facunla </t>
  </si>
  <si>
    <t xml:space="preserve">SPO1 Pasion, Edwin Jacob </t>
  </si>
  <si>
    <t xml:space="preserve">PO2 Sagun, Eric Ferrer </t>
  </si>
  <si>
    <t>PO3 Pantaleon, Emiliano Felix  Jr</t>
  </si>
  <si>
    <t xml:space="preserve">PO1 Mina, Elueterio Atayde  Jr </t>
  </si>
  <si>
    <t xml:space="preserve">PSSg Monjardin, Joseph Dolosa </t>
  </si>
  <si>
    <t xml:space="preserve">PO1 Olicia, Cyndrick Zamudio </t>
  </si>
  <si>
    <t xml:space="preserve">SPO1 Cantanero, Carlo Gabuod </t>
  </si>
  <si>
    <t xml:space="preserve">SPO1 Carayacay, Joel Betoio </t>
  </si>
  <si>
    <r>
      <t xml:space="preserve">LIST OF WIPO PERSONNEL
</t>
    </r>
    <r>
      <rPr>
        <b/>
        <sz val="11"/>
        <color theme="1"/>
        <rFont val="Calibri"/>
        <family val="2"/>
        <scheme val="minor"/>
      </rPr>
      <t xml:space="preserve"> from July 1, 2016 - present</t>
    </r>
    <r>
      <rPr>
        <b/>
        <sz val="14"/>
        <color theme="1"/>
        <rFont val="Calibri"/>
        <family val="2"/>
        <scheme val="minor"/>
      </rPr>
      <t xml:space="preserve">
</t>
    </r>
  </si>
  <si>
    <t>Submitted folder 
6/7/19
 (for hearing)</t>
  </si>
  <si>
    <t>Submitted folder to MWD
June 10, 2019</t>
  </si>
  <si>
    <t>PSSg Dindo Ustare Marasigan</t>
  </si>
  <si>
    <t>For validation</t>
  </si>
  <si>
    <t>Initial Information sumitted to MWD thru Email</t>
  </si>
  <si>
    <t xml:space="preserve">Pat Abner Bacanto Tiangan </t>
  </si>
  <si>
    <t>PRO 4A/ Quezon, PPO</t>
  </si>
  <si>
    <t>PRO 4A/ Laguna, PPO</t>
  </si>
  <si>
    <t>Submitted folder to MWD (June 19, 2019</t>
  </si>
  <si>
    <t>on process</t>
  </si>
  <si>
    <t>PSMS Conrado A Cabigao</t>
  </si>
  <si>
    <t xml:space="preserve">Received initial claim of Php137,638.68 (July 1, 2019) 
</t>
  </si>
  <si>
    <t xml:space="preserve">June 29, 2019) 
</t>
  </si>
  <si>
    <t>Submitted folder to RHS
June 27, 2019</t>
  </si>
  <si>
    <t>Submitted folder  to MWD (July 8, 2019)</t>
  </si>
  <si>
    <t>PSSg Jimmy Guevarra Ilao</t>
  </si>
  <si>
    <t>To be awarded to beneficiaries</t>
  </si>
  <si>
    <t>Php597,612.00(September 21, 2018</t>
  </si>
  <si>
    <t>Php408,948.00 ((September 21, 2018)</t>
  </si>
  <si>
    <t>Php102,237.00 ((September 21, 2018)</t>
  </si>
  <si>
    <t>Php27,263.20 ((September 21, 2018)</t>
  </si>
  <si>
    <t>Php356,016.00 (May 8, 2019)</t>
  </si>
  <si>
    <t>Php89,004.00 (May 8, 2019)</t>
  </si>
  <si>
    <t>Php23.734.40 (May 8, 2019)</t>
  </si>
  <si>
    <t>To be awarded to children of PO1 Tan</t>
  </si>
  <si>
    <t>UPDATES ON THE ASSISTANCE PROVIDED TO WOUNDED IN POLICE OPERATION (WIPO)
1ST SEMESTER 2019</t>
  </si>
  <si>
    <t>June 16, 2O19</t>
  </si>
  <si>
    <t>June 15, 2O19</t>
  </si>
  <si>
    <t>June 18, 2O19</t>
  </si>
  <si>
    <t>Received Php355,503.00
July 11, 2019</t>
  </si>
  <si>
    <t>Php250,000 (1st Tranche: July 31, 2018) 
Received
(2nd Tranche) 
Php250,000</t>
  </si>
  <si>
    <t>Php250,000 (1st Tranche: July 23, 2018) 
Received
(2nd Tranche) 
Php250,000</t>
  </si>
  <si>
    <t>Submitted folder to RHS
July 18, 2019</t>
  </si>
  <si>
    <t>Submitted folder  to MWD (July 29, 2019)</t>
  </si>
  <si>
    <t>Submitted folder to MWD
July 29, 2019</t>
  </si>
  <si>
    <t>Advance copy forwarded to CSC Rizal 
July 25, 2019</t>
  </si>
  <si>
    <t>Remarks</t>
  </si>
  <si>
    <t>AWOL</t>
  </si>
  <si>
    <t>Authority</t>
  </si>
  <si>
    <t>SO # 2019-335 eff 3/27/19</t>
  </si>
  <si>
    <t>Reassigned to NCRPO</t>
  </si>
  <si>
    <t>Reassigned to RHSD 4A</t>
  </si>
  <si>
    <t>Reassigned to Rizal PPO</t>
  </si>
  <si>
    <t>NHQ SO # 10549 eff 10/9/17</t>
  </si>
  <si>
    <t>So # 1672-2018 eff 6/1/2018</t>
  </si>
  <si>
    <t>SO # 1110 eff 4/20/2018</t>
  </si>
  <si>
    <t xml:space="preserve">Reassigned to PROCOR </t>
  </si>
  <si>
    <t>NHQ SO # 8419 eff 8/16/17</t>
  </si>
  <si>
    <t>Reassigned to PRO 2</t>
  </si>
  <si>
    <t>NHQ SO # 50838 eff 10/4/18</t>
  </si>
  <si>
    <t>Reassigned to Kawit from Bacoor</t>
  </si>
  <si>
    <t>SO# 139 eff 6/29/19</t>
  </si>
  <si>
    <t>Presidential Directive</t>
  </si>
  <si>
    <t>Availed</t>
  </si>
  <si>
    <t>Reassigned to PRO COR</t>
  </si>
  <si>
    <t>NHQ SO# DPRM-SO-URA-2019-00082 eff 3/6/19</t>
  </si>
  <si>
    <t>NHQ-SO-URA-2019-2404 eff 8/1/19</t>
  </si>
  <si>
    <t>Reassigned to PRO5</t>
  </si>
  <si>
    <t>Reassigned to Laguna PPO</t>
  </si>
  <si>
    <t>PRO4A-SO-RA-2019-596 dtd eff 29, 2019</t>
  </si>
  <si>
    <t>UPDATES ON THE ASSISTANCE PROVIDED TO KILLED IN POLICE OPERATION (WIPO)
1ST SEMESTER 2019</t>
  </si>
  <si>
    <t>QPPRMB-PARMS SO # 308 dated June 25, 2019 eff. June 25, 2019</t>
  </si>
  <si>
    <t>Reassigned to 1st QPMFC</t>
  </si>
  <si>
    <t>SO # NHQ-SO-URA-2019-2795 dated August 1, 2019 eff. August 1, 2019</t>
  </si>
  <si>
    <t>Reassigned to PRO4B MIMAROPA</t>
  </si>
  <si>
    <t>For validation at NAPOLCOM</t>
  </si>
  <si>
    <t>Submitted at MWD</t>
  </si>
  <si>
    <t>submitted folder to MWD, ODPRM (August 13, 2019)</t>
  </si>
  <si>
    <t>NR</t>
  </si>
  <si>
    <t>DATE OF INCIDENT</t>
  </si>
  <si>
    <t>TYPES OF INJURY</t>
  </si>
  <si>
    <t>STATUS</t>
  </si>
  <si>
    <t>CONTACT NUMBER</t>
  </si>
  <si>
    <t>STATUS OF PSF-SFA CLAIMS OF WIPO PERSONNEL</t>
  </si>
  <si>
    <t>PCpl Zosimo Layug Asido Jr</t>
  </si>
  <si>
    <t>For Validation</t>
  </si>
  <si>
    <t>Submitted initial Information at MWD</t>
  </si>
  <si>
    <t>Status of PNP WIPO Personnel</t>
  </si>
  <si>
    <t>First Semester CY 2019 (From January 1, 2019 to June 30, 2019)</t>
  </si>
  <si>
    <t>PCO</t>
  </si>
  <si>
    <t>PNCO</t>
  </si>
  <si>
    <t>KIPO Personnel filed Posthumous Promotion</t>
  </si>
  <si>
    <t xml:space="preserve">BENEFIT CLAIMS OF KIPO BENEFICIARIES </t>
  </si>
  <si>
    <t>Out Patient</t>
  </si>
  <si>
    <t>Cavinti MPS, Laguna PPO, PRO 4A</t>
  </si>
  <si>
    <t>Taytay MPS, Rizal PPO, PRO 4A</t>
  </si>
  <si>
    <t>Police Regional Office CALABARZON</t>
  </si>
  <si>
    <t>No</t>
  </si>
  <si>
    <t>Special Promotion</t>
  </si>
  <si>
    <t>CSBP</t>
  </si>
  <si>
    <t>Claims of WIPO Personnel</t>
  </si>
  <si>
    <t>Date of Incident</t>
  </si>
  <si>
    <t>Unit Assignment</t>
  </si>
  <si>
    <t>Not Eligible</t>
  </si>
  <si>
    <t>Antipolo CCPS, Rizal PPO, PRO 4A</t>
  </si>
  <si>
    <t>Lucena CCPS, Quezon PPO, PRO 4A</t>
  </si>
  <si>
    <t>Medalya ng Sugatang Magiting and Kagalingan</t>
  </si>
  <si>
    <t>For recommendation</t>
  </si>
  <si>
    <t>Recommended for Medalya ng Kabayanihan (for NHQ SPADB Deliberation)</t>
  </si>
  <si>
    <t>Not a Member</t>
  </si>
  <si>
    <t>Php5,000.00 from  PRO 4A Lakas Tulungan</t>
  </si>
  <si>
    <t>PSSg Randy Dibdiben Matias</t>
  </si>
  <si>
    <t>January 25, 2026</t>
  </si>
  <si>
    <t>Multiple Physical Injuries (Right Arm and Face)</t>
  </si>
  <si>
    <t>PSSg Miguel Siervo Pelito</t>
  </si>
  <si>
    <t>General Mariano Alvarez MPS, Cavite PPO, PRO 4A</t>
  </si>
  <si>
    <t>Php10,000.00 from RD, PRO 4A; and Php5,000.00 from  PRO 4A Lakas Tulungan</t>
  </si>
  <si>
    <t xml:space="preserve"> Injuries on the back head, around the right eye, and on the different parts of his body.</t>
  </si>
  <si>
    <t>Confined at Asia Medic Hospital in Dasmariñas City, Cavite from January 29 to 31, 2026 (medical expenses paid by LGU)</t>
  </si>
  <si>
    <t>Pat Jimbert Rodrigo Dela Cruz</t>
  </si>
  <si>
    <t>February 15, 2026</t>
  </si>
  <si>
    <t>Taytay MPS, Rizal PPO</t>
  </si>
  <si>
    <t xml:space="preserve"> Php5,000.00 from  PRO 4A Lakas Tulungan</t>
  </si>
  <si>
    <t>Injuries on Right Arm and Leg</t>
  </si>
  <si>
    <t xml:space="preserve">PCpl Marvin Bulan Tungcul </t>
  </si>
  <si>
    <t>February 25, 2026</t>
  </si>
  <si>
    <t>Php30,000.00 from RD, PRO 4A; and Php5,000.00 from  PRO 4A Lakas Tulungan</t>
  </si>
  <si>
    <t>Cerebral Concussion with Multiple Avulsed Wound, Facial Area s/o VA</t>
  </si>
  <si>
    <t xml:space="preserve"> January 29, 2026</t>
  </si>
  <si>
    <t>Pat Jaybee Briones Ero</t>
  </si>
  <si>
    <t>March 14, 2026</t>
  </si>
  <si>
    <t>Lacerated Wound on Right Hand and Right Shoulder Joint</t>
  </si>
  <si>
    <t>PSSg Christian Gerald Marpa Siazon</t>
  </si>
  <si>
    <t>March 22, 2026</t>
  </si>
  <si>
    <t>Multiple Abrasion secondary to VA r/o Cerebral Concussion</t>
  </si>
  <si>
    <t>Php30,000.00 from RD,PRO 4A; and Php5,000.00 from  PRO 4A Lakas Tulungan</t>
  </si>
  <si>
    <t>PLT MANUEL TAPIRU DANGUECAN, JR</t>
  </si>
  <si>
    <t>April 13, 2026</t>
  </si>
  <si>
    <t>Angono MPS, Rizal PPO, PRO 4A</t>
  </si>
  <si>
    <t>April 15, 2026</t>
  </si>
  <si>
    <t>Tiaong MPS, Quezon PPO, PRO 4A</t>
  </si>
  <si>
    <t>PCpl Ericson Rivera Cabangca</t>
  </si>
  <si>
    <t>Lopez MPS, Quezon PPO, PRO 4A (reassigned to PRO 2)</t>
  </si>
  <si>
    <t>Confined at Lopez St. Jude General Hospital, Lopez, Quezon from February 25 to 27, 2026 (Did Not Apply)</t>
  </si>
  <si>
    <t>PSSg Mark Delos Santos</t>
  </si>
  <si>
    <t>Pat John Cyn Tomas Oligo</t>
  </si>
  <si>
    <t>April 16, 2026</t>
  </si>
  <si>
    <t>Pat Jonathan Lomibao Tatel</t>
  </si>
  <si>
    <t>Pat Jomarie Callejo Abrazaldo</t>
  </si>
  <si>
    <t>April 18, 2026</t>
  </si>
  <si>
    <t>Not Qualified</t>
  </si>
  <si>
    <t>Multiple Physical Injuries (Right Elbow and Left Pinky Finger)</t>
  </si>
  <si>
    <t>1x1 graze wound secondary to bullet over left deltoid area with redness</t>
  </si>
  <si>
    <t>Burn Injury on Lower Right Leg and Contusion on Lower Left Leg</t>
  </si>
  <si>
    <t>Soft Tissue Swelling on Right Elbow and Abrasions on Left Thigh</t>
  </si>
  <si>
    <t>Bite Mark on Left Hand and Multiple Abrasion on Left Elbow and Left Forearm</t>
  </si>
  <si>
    <t>Abrasions on Right and Left Hand</t>
  </si>
  <si>
    <t xml:space="preserve">Medalya ng Kadakilaan </t>
  </si>
  <si>
    <t>Submitted documentary requirements to MWD, DPRM on April 24, 2026  (Approved by the NHQ PSF-SFA Committee on May 13, 2026) to receive Php100,000.00</t>
  </si>
  <si>
    <t xml:space="preserve">As of July 6, 2026 </t>
  </si>
  <si>
    <t>Patrolman Mark Brayan S Dadulla</t>
  </si>
  <si>
    <t>July 8 2026</t>
  </si>
  <si>
    <t>RPDEU 4A</t>
  </si>
  <si>
    <t>Confined at Perpetual Help Medical Center-Biñan Brgy. Sto Niño, Biñan City, Laguna</t>
  </si>
  <si>
    <t>Gunshot Wound (Abdomen)</t>
  </si>
  <si>
    <t>For completion of documentary requirements</t>
  </si>
  <si>
    <t>Php5,000.00 from  PRO 4A Lakas Tulungan
PSMBFI 20,000</t>
  </si>
  <si>
    <r>
      <t xml:space="preserve">Submitted documentary requirements to MWD, DPRM on March 26, 2026  (Approved by the NHQ PSF-SFA Committee on April 14, 2026) to receive </t>
    </r>
    <r>
      <rPr>
        <b/>
        <sz val="14"/>
        <rFont val="Arial Narrow"/>
        <family val="2"/>
      </rPr>
      <t>Php100,000.00
(DILG)</t>
    </r>
  </si>
  <si>
    <r>
      <t xml:space="preserve">Submitted documentary requirements to MWD, DPRM on April 1, 2026  (Approved by the NHQ PSF-SFA Committee on April 14, 2026) to receive </t>
    </r>
    <r>
      <rPr>
        <b/>
        <sz val="14"/>
        <rFont val="Arial Narrow"/>
        <family val="2"/>
      </rPr>
      <t>Php100,000.00
(DILG)</t>
    </r>
  </si>
  <si>
    <t>Confined at Lucena MMG General Hospital, Lucena City, Quezon from March 22, 2026 to April 6, 2026 (for completion of requirements)
(Submitted to RMDU 4A June 2, 2026 for Deliberation)</t>
  </si>
  <si>
    <r>
      <t xml:space="preserve">Submitted documentary requirements to MWD, DPRM on April 21, 2026 (Approved by the NHQ PSF-SFA Committee on May 13, 2026) to receive Php100,000.00]
</t>
    </r>
    <r>
      <rPr>
        <b/>
        <sz val="14"/>
        <rFont val="Arial Narrow"/>
        <family val="2"/>
      </rPr>
      <t>(DILG)</t>
    </r>
    <r>
      <rPr>
        <sz val="14"/>
        <rFont val="Arial Narrow"/>
        <family val="2"/>
      </rPr>
      <t xml:space="preserve">
</t>
    </r>
  </si>
  <si>
    <r>
      <t xml:space="preserve">Submitted documentary requirements to MWD, DPRM on April 23, 2026  (For approval of the NHQ PSF-SFA Committee)
</t>
    </r>
    <r>
      <rPr>
        <b/>
        <sz val="14"/>
        <rFont val="Arial Narrow"/>
        <family val="2"/>
      </rPr>
      <t>(DILG)</t>
    </r>
  </si>
  <si>
    <r>
      <t xml:space="preserve">Submitted documentary requirements to MWD, DPRM on April 23, 2026  (Approved by the NHQ PSF-SFA Committee on May 13, 2026) to receive Php100,000.00
</t>
    </r>
    <r>
      <rPr>
        <b/>
        <sz val="14"/>
        <rFont val="Arial Narrow"/>
        <family val="2"/>
      </rPr>
      <t>(DILG)</t>
    </r>
  </si>
  <si>
    <r>
      <t xml:space="preserve">Submitted documentary requirements to MWD, DPRM on April 27, 2026  (Approved by the NHQ PSF-SFA Committee on May 13, 2026) to receive Php100,000.00
</t>
    </r>
    <r>
      <rPr>
        <b/>
        <sz val="14"/>
        <rFont val="Arial Narrow"/>
        <family val="2"/>
      </rPr>
      <t>(DILG)</t>
    </r>
  </si>
  <si>
    <r>
      <t xml:space="preserve">Submitted documentary requirements to MWD, DPRM on February 2, 2026  (Approved by the NHQ PSF-SFA Committee on February 5, 2026)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>Office of the President</t>
    </r>
  </si>
  <si>
    <r>
      <t xml:space="preserve">Submitted documentary requirements to MWD, DPRM on February 5, 2026  (Approved by the NHQ PSF-SFA Committee on February 26, 2026) to receive </t>
    </r>
    <r>
      <rPr>
        <b/>
        <sz val="14"/>
        <rFont val="Arial Narrow"/>
        <family val="2"/>
      </rPr>
      <t xml:space="preserve">Php100,000.00
</t>
    </r>
    <r>
      <rPr>
        <sz val="14"/>
        <rFont val="Arial Narrow"/>
        <family val="2"/>
      </rPr>
      <t xml:space="preserve">
</t>
    </r>
    <r>
      <rPr>
        <b/>
        <sz val="12"/>
        <rFont val="Arial Narrow"/>
        <family val="2"/>
      </rPr>
      <t>Office of the President</t>
    </r>
  </si>
  <si>
    <r>
      <t xml:space="preserve">Submitted documentary requirements to MWD, DPRM on February 26, 2026  (Approved by the NHQ PSF-SFA Committee on March 11, 2026)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>Office of the President</t>
    </r>
  </si>
  <si>
    <r>
      <t xml:space="preserve">Submitted documentary requirements to MWD, DPRM on March 5, 2026  (Approved by the NHQ PSF-SFA Committee on March 24, 2026) to receive </t>
    </r>
    <r>
      <rPr>
        <b/>
        <sz val="14"/>
        <rFont val="Arial Narrow"/>
        <family val="2"/>
      </rPr>
      <t xml:space="preserve">Php100,000.00
</t>
    </r>
    <r>
      <rPr>
        <b/>
        <sz val="12"/>
        <rFont val="Arial Narrow"/>
        <family val="2"/>
      </rPr>
      <t xml:space="preserve">
Office of the President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</si>
</sst>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35" x14ac:knownFonts="1"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rgb="FF000000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sz val="14"/>
      <name val="Arial Narrow"/>
      <family val="2"/>
    </font>
    <font>
      <b/>
      <u/>
      <sz val="12"/>
      <color theme="1"/>
      <name val="Arial Narrow"/>
      <family val="2"/>
    </font>
    <font>
      <sz val="12"/>
      <name val="Arial"/>
      <family val="2"/>
    </font>
    <font>
      <sz val="11"/>
      <name val="Arial Narrow"/>
      <family val="2"/>
    </font>
    <font>
      <sz val="18"/>
      <name val="Arial Narrow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name val="Arial Narrow"/>
      <family val="2"/>
    </font>
    <font>
      <sz val="18"/>
      <color theme="1"/>
      <name val="Arial Narrow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20"/>
      <color theme="1"/>
      <name val="Arial Narrow"/>
      <family val="2"/>
    </font>
    <font>
      <sz val="11"/>
      <name val="Calibri"/>
      <family val="2"/>
      <scheme val="minor"/>
    </font>
    <font>
      <sz val="15"/>
      <name val="Arial Narrow"/>
      <family val="2"/>
    </font>
    <font>
      <b/>
      <sz val="14"/>
      <name val="Arial Narrow"/>
      <family val="2"/>
    </font>
    <font>
      <sz val="18"/>
      <name val="Arial"/>
      <family val="2"/>
    </font>
    <font>
      <b/>
      <sz val="18"/>
      <color theme="1"/>
      <name val="Arial Narrow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 readingOrder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9" fillId="0" borderId="1" xfId="0" applyFont="1" applyBorder="1" applyAlignment="1">
      <alignment horizontal="left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vertical="center" wrapText="1"/>
    </xf>
    <xf numFmtId="15" fontId="5" fillId="0" borderId="2" xfId="0" applyNumberFormat="1" applyFont="1" applyBorder="1" applyAlignment="1">
      <alignment vertical="center" wrapText="1"/>
    </xf>
    <xf numFmtId="15" fontId="5" fillId="0" borderId="2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 wrapText="1"/>
    </xf>
    <xf numFmtId="15" fontId="22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/>
    <xf numFmtId="0" fontId="22" fillId="0" borderId="1" xfId="0" applyFont="1" applyBorder="1" applyAlignment="1">
      <alignment horizontal="left" vertical="center" wrapText="1"/>
    </xf>
    <xf numFmtId="164" fontId="21" fillId="0" borderId="1" xfId="0" applyNumberFormat="1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23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4" fillId="0" borderId="0" xfId="0" applyFont="1"/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29" fillId="0" borderId="0" xfId="0" applyFont="1"/>
    <xf numFmtId="0" fontId="26" fillId="4" borderId="1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32" fillId="3" borderId="0" xfId="0" applyFont="1" applyFill="1"/>
    <xf numFmtId="0" fontId="31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25" fillId="4" borderId="5" xfId="0" applyFont="1" applyFill="1" applyBorder="1" applyAlignment="1">
      <alignment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quotePrefix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34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8" fillId="3" borderId="0" xfId="0" applyFont="1" applyFill="1" applyAlignment="1">
      <alignment horizontal="center"/>
    </xf>
    <xf numFmtId="0" fontId="33" fillId="0" borderId="0" xfId="0" applyFont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wrapText="1"/>
    </xf>
    <xf numFmtId="0" fontId="1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showGridLines="0" tabSelected="1" view="pageBreakPreview" zoomScale="55" zoomScaleNormal="80" zoomScaleSheetLayoutView="55" workbookViewId="0">
      <selection activeCell="A20" sqref="A20:XFD40"/>
    </sheetView>
  </sheetViews>
  <sheetFormatPr defaultRowHeight="15" x14ac:dyDescent="0.25"/>
  <cols>
    <col min="1" max="1" width="6" customWidth="1"/>
    <col min="2" max="2" width="27.140625" customWidth="1"/>
    <col min="3" max="3" width="26.5703125" style="58" customWidth="1"/>
    <col min="4" max="4" width="18.42578125" style="46" customWidth="1"/>
    <col min="5" max="5" width="14.140625" style="46" hidden="1" customWidth="1"/>
    <col min="6" max="6" width="21.5703125" style="46" customWidth="1"/>
    <col min="7" max="7" width="18.5703125" style="46" customWidth="1"/>
    <col min="8" max="8" width="20.5703125" style="46" customWidth="1"/>
    <col min="9" max="9" width="20.7109375" style="46" customWidth="1"/>
    <col min="10" max="10" width="15.85546875" style="35" customWidth="1"/>
    <col min="11" max="11" width="31.7109375" style="35" customWidth="1"/>
    <col min="12" max="13" width="18.85546875" style="86" customWidth="1"/>
  </cols>
  <sheetData>
    <row r="1" spans="1:13" ht="13.5" customHeight="1" x14ac:dyDescent="0.25"/>
    <row r="2" spans="1:13" ht="33.75" customHeight="1" x14ac:dyDescent="0.35">
      <c r="A2" s="99" t="s">
        <v>370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87"/>
    </row>
    <row r="3" spans="1:13" ht="23.25" x14ac:dyDescent="0.35">
      <c r="A3" s="100" t="s">
        <v>429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87"/>
    </row>
    <row r="4" spans="1:13" ht="20.25" customHeight="1" x14ac:dyDescent="0.25">
      <c r="A4" s="101" t="s">
        <v>366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88"/>
    </row>
    <row r="5" spans="1:13" ht="28.5" customHeight="1" x14ac:dyDescent="0.25">
      <c r="A5" s="102" t="s">
        <v>367</v>
      </c>
      <c r="B5" s="104" t="s">
        <v>45</v>
      </c>
      <c r="C5" s="105" t="s">
        <v>371</v>
      </c>
      <c r="D5" s="105" t="s">
        <v>372</v>
      </c>
      <c r="E5" s="90"/>
      <c r="F5" s="106" t="s">
        <v>5</v>
      </c>
      <c r="G5" s="106"/>
      <c r="H5" s="106"/>
      <c r="I5" s="107"/>
      <c r="J5" s="108" t="s">
        <v>7</v>
      </c>
      <c r="K5" s="85" t="s">
        <v>369</v>
      </c>
      <c r="L5" s="110" t="s">
        <v>10</v>
      </c>
      <c r="M5" s="110" t="s">
        <v>48</v>
      </c>
    </row>
    <row r="6" spans="1:13" ht="34.5" customHeight="1" x14ac:dyDescent="0.25">
      <c r="A6" s="103"/>
      <c r="B6" s="104"/>
      <c r="C6" s="105"/>
      <c r="D6" s="105"/>
      <c r="E6" s="91" t="s">
        <v>48</v>
      </c>
      <c r="F6" s="84" t="s">
        <v>50</v>
      </c>
      <c r="G6" s="84" t="s">
        <v>368</v>
      </c>
      <c r="H6" s="84" t="s">
        <v>18</v>
      </c>
      <c r="I6" s="84" t="s">
        <v>22</v>
      </c>
      <c r="J6" s="109"/>
      <c r="K6" s="84" t="s">
        <v>24</v>
      </c>
      <c r="L6" s="110"/>
      <c r="M6" s="110"/>
    </row>
    <row r="7" spans="1:13" s="83" customFormat="1" ht="238.5" customHeight="1" x14ac:dyDescent="0.25">
      <c r="A7" s="94">
        <v>1</v>
      </c>
      <c r="B7" s="95" t="s">
        <v>381</v>
      </c>
      <c r="C7" s="81" t="s">
        <v>382</v>
      </c>
      <c r="D7" s="82" t="s">
        <v>364</v>
      </c>
      <c r="E7" s="81"/>
      <c r="F7" s="81" t="s">
        <v>363</v>
      </c>
      <c r="G7" s="93" t="s">
        <v>378</v>
      </c>
      <c r="H7" s="93" t="s">
        <v>376</v>
      </c>
      <c r="I7" s="93" t="s">
        <v>377</v>
      </c>
      <c r="J7" s="93" t="s">
        <v>373</v>
      </c>
      <c r="K7" s="81" t="s">
        <v>444</v>
      </c>
      <c r="L7" s="81" t="s">
        <v>380</v>
      </c>
      <c r="M7" s="89" t="s">
        <v>383</v>
      </c>
    </row>
    <row r="8" spans="1:13" s="83" customFormat="1" ht="231" customHeight="1" x14ac:dyDescent="0.25">
      <c r="A8" s="94">
        <v>2</v>
      </c>
      <c r="B8" s="95" t="s">
        <v>384</v>
      </c>
      <c r="C8" s="81" t="s">
        <v>398</v>
      </c>
      <c r="D8" s="82" t="s">
        <v>385</v>
      </c>
      <c r="E8" s="81"/>
      <c r="F8" s="81" t="s">
        <v>388</v>
      </c>
      <c r="G8" s="93" t="s">
        <v>57</v>
      </c>
      <c r="H8" s="93" t="s">
        <v>373</v>
      </c>
      <c r="I8" s="93" t="s">
        <v>420</v>
      </c>
      <c r="J8" s="93" t="s">
        <v>373</v>
      </c>
      <c r="K8" s="81" t="s">
        <v>445</v>
      </c>
      <c r="L8" s="81" t="s">
        <v>386</v>
      </c>
      <c r="M8" s="89" t="s">
        <v>387</v>
      </c>
    </row>
    <row r="9" spans="1:13" s="83" customFormat="1" ht="243" customHeight="1" x14ac:dyDescent="0.25">
      <c r="A9" s="94">
        <v>3</v>
      </c>
      <c r="B9" s="95" t="s">
        <v>389</v>
      </c>
      <c r="C9" s="81" t="s">
        <v>390</v>
      </c>
      <c r="D9" s="82" t="s">
        <v>391</v>
      </c>
      <c r="E9" s="81"/>
      <c r="F9" s="81" t="s">
        <v>363</v>
      </c>
      <c r="G9" s="93" t="s">
        <v>57</v>
      </c>
      <c r="H9" s="93" t="s">
        <v>373</v>
      </c>
      <c r="I9" s="93" t="s">
        <v>420</v>
      </c>
      <c r="J9" s="93" t="s">
        <v>379</v>
      </c>
      <c r="K9" s="81" t="s">
        <v>446</v>
      </c>
      <c r="L9" s="81" t="s">
        <v>392</v>
      </c>
      <c r="M9" s="89" t="s">
        <v>393</v>
      </c>
    </row>
    <row r="10" spans="1:13" s="83" customFormat="1" ht="234" customHeight="1" x14ac:dyDescent="0.25">
      <c r="A10" s="94">
        <v>4</v>
      </c>
      <c r="B10" s="95" t="s">
        <v>394</v>
      </c>
      <c r="C10" s="81" t="s">
        <v>395</v>
      </c>
      <c r="D10" s="82" t="s">
        <v>412</v>
      </c>
      <c r="E10" s="81"/>
      <c r="F10" s="81" t="s">
        <v>413</v>
      </c>
      <c r="G10" s="93" t="s">
        <v>57</v>
      </c>
      <c r="H10" s="93" t="s">
        <v>373</v>
      </c>
      <c r="I10" s="93" t="s">
        <v>420</v>
      </c>
      <c r="J10" s="93" t="s">
        <v>373</v>
      </c>
      <c r="K10" s="81" t="s">
        <v>447</v>
      </c>
      <c r="L10" s="81" t="s">
        <v>396</v>
      </c>
      <c r="M10" s="89" t="s">
        <v>397</v>
      </c>
    </row>
    <row r="11" spans="1:13" s="83" customFormat="1" ht="222.75" customHeight="1" x14ac:dyDescent="0.25">
      <c r="A11" s="94">
        <v>5</v>
      </c>
      <c r="B11" s="95" t="s">
        <v>399</v>
      </c>
      <c r="C11" s="81" t="s">
        <v>400</v>
      </c>
      <c r="D11" s="82" t="s">
        <v>374</v>
      </c>
      <c r="E11" s="81"/>
      <c r="F11" s="81" t="s">
        <v>363</v>
      </c>
      <c r="G11" s="93" t="s">
        <v>57</v>
      </c>
      <c r="H11" s="93" t="s">
        <v>373</v>
      </c>
      <c r="I11" s="93" t="s">
        <v>420</v>
      </c>
      <c r="J11" s="93" t="s">
        <v>373</v>
      </c>
      <c r="K11" s="81" t="s">
        <v>437</v>
      </c>
      <c r="L11" s="81" t="s">
        <v>380</v>
      </c>
      <c r="M11" s="89" t="s">
        <v>401</v>
      </c>
    </row>
    <row r="12" spans="1:13" s="83" customFormat="1" ht="267" customHeight="1" x14ac:dyDescent="0.25">
      <c r="A12" s="94">
        <v>6</v>
      </c>
      <c r="B12" s="95" t="s">
        <v>402</v>
      </c>
      <c r="C12" s="81" t="s">
        <v>403</v>
      </c>
      <c r="D12" s="82" t="s">
        <v>375</v>
      </c>
      <c r="E12" s="81"/>
      <c r="F12" s="97" t="s">
        <v>439</v>
      </c>
      <c r="G12" s="93" t="s">
        <v>57</v>
      </c>
      <c r="H12" s="93" t="s">
        <v>373</v>
      </c>
      <c r="I12" s="93" t="s">
        <v>420</v>
      </c>
      <c r="J12" s="93" t="s">
        <v>373</v>
      </c>
      <c r="K12" s="81" t="s">
        <v>438</v>
      </c>
      <c r="L12" s="81" t="s">
        <v>405</v>
      </c>
      <c r="M12" s="89" t="s">
        <v>404</v>
      </c>
    </row>
    <row r="13" spans="1:13" s="83" customFormat="1" ht="209.25" customHeight="1" x14ac:dyDescent="0.25">
      <c r="A13" s="94">
        <v>7</v>
      </c>
      <c r="B13" s="95" t="s">
        <v>406</v>
      </c>
      <c r="C13" s="81" t="s">
        <v>407</v>
      </c>
      <c r="D13" s="82" t="s">
        <v>408</v>
      </c>
      <c r="E13" s="81"/>
      <c r="F13" s="81" t="s">
        <v>363</v>
      </c>
      <c r="G13" s="93" t="s">
        <v>57</v>
      </c>
      <c r="H13" s="93" t="s">
        <v>373</v>
      </c>
      <c r="I13" s="93" t="s">
        <v>420</v>
      </c>
      <c r="J13" s="93" t="s">
        <v>373</v>
      </c>
      <c r="K13" s="97" t="s">
        <v>440</v>
      </c>
      <c r="L13" s="81" t="s">
        <v>380</v>
      </c>
      <c r="M13" s="89" t="s">
        <v>421</v>
      </c>
    </row>
    <row r="14" spans="1:13" s="83" customFormat="1" ht="204" customHeight="1" x14ac:dyDescent="0.25">
      <c r="A14" s="94">
        <v>8</v>
      </c>
      <c r="B14" s="95" t="s">
        <v>411</v>
      </c>
      <c r="C14" s="81" t="s">
        <v>409</v>
      </c>
      <c r="D14" s="82" t="s">
        <v>410</v>
      </c>
      <c r="E14" s="81"/>
      <c r="F14" s="81" t="s">
        <v>363</v>
      </c>
      <c r="G14" s="93" t="s">
        <v>57</v>
      </c>
      <c r="H14" s="93" t="s">
        <v>427</v>
      </c>
      <c r="I14" s="93" t="s">
        <v>377</v>
      </c>
      <c r="J14" s="93" t="s">
        <v>373</v>
      </c>
      <c r="K14" s="97" t="s">
        <v>428</v>
      </c>
      <c r="L14" s="81" t="s">
        <v>380</v>
      </c>
      <c r="M14" s="89" t="s">
        <v>422</v>
      </c>
    </row>
    <row r="15" spans="1:13" s="83" customFormat="1" ht="191.25" customHeight="1" x14ac:dyDescent="0.25">
      <c r="A15" s="94">
        <v>9</v>
      </c>
      <c r="B15" s="95" t="s">
        <v>414</v>
      </c>
      <c r="C15" s="81" t="s">
        <v>409</v>
      </c>
      <c r="D15" s="82" t="s">
        <v>374</v>
      </c>
      <c r="E15" s="81"/>
      <c r="F15" s="81" t="s">
        <v>363</v>
      </c>
      <c r="G15" s="93" t="s">
        <v>57</v>
      </c>
      <c r="H15" s="93" t="s">
        <v>373</v>
      </c>
      <c r="I15" s="93" t="s">
        <v>420</v>
      </c>
      <c r="J15" s="93" t="s">
        <v>373</v>
      </c>
      <c r="K15" s="97" t="s">
        <v>441</v>
      </c>
      <c r="L15" s="81" t="s">
        <v>380</v>
      </c>
      <c r="M15" s="89" t="s">
        <v>423</v>
      </c>
    </row>
    <row r="16" spans="1:13" s="83" customFormat="1" ht="216.75" customHeight="1" x14ac:dyDescent="0.25">
      <c r="A16" s="94">
        <v>10</v>
      </c>
      <c r="B16" s="95" t="s">
        <v>415</v>
      </c>
      <c r="C16" s="81" t="s">
        <v>416</v>
      </c>
      <c r="D16" s="82" t="s">
        <v>374</v>
      </c>
      <c r="E16" s="81"/>
      <c r="F16" s="81" t="s">
        <v>363</v>
      </c>
      <c r="G16" s="93" t="s">
        <v>57</v>
      </c>
      <c r="H16" s="93" t="s">
        <v>373</v>
      </c>
      <c r="I16" s="93" t="s">
        <v>420</v>
      </c>
      <c r="J16" s="93" t="s">
        <v>373</v>
      </c>
      <c r="K16" s="97" t="s">
        <v>442</v>
      </c>
      <c r="L16" s="81" t="s">
        <v>380</v>
      </c>
      <c r="M16" s="89" t="s">
        <v>424</v>
      </c>
    </row>
    <row r="17" spans="1:13" s="83" customFormat="1" ht="219.75" customHeight="1" x14ac:dyDescent="0.25">
      <c r="A17" s="94">
        <v>11</v>
      </c>
      <c r="B17" s="95" t="s">
        <v>417</v>
      </c>
      <c r="C17" s="81" t="s">
        <v>419</v>
      </c>
      <c r="D17" s="82" t="s">
        <v>365</v>
      </c>
      <c r="E17" s="81"/>
      <c r="F17" s="81" t="s">
        <v>363</v>
      </c>
      <c r="G17" s="93" t="s">
        <v>57</v>
      </c>
      <c r="H17" s="93" t="s">
        <v>373</v>
      </c>
      <c r="I17" s="93" t="s">
        <v>377</v>
      </c>
      <c r="J17" s="93" t="s">
        <v>373</v>
      </c>
      <c r="K17" s="97" t="s">
        <v>443</v>
      </c>
      <c r="L17" s="81" t="s">
        <v>380</v>
      </c>
      <c r="M17" s="89" t="s">
        <v>425</v>
      </c>
    </row>
    <row r="18" spans="1:13" s="83" customFormat="1" ht="227.25" customHeight="1" x14ac:dyDescent="0.25">
      <c r="A18" s="94">
        <v>12</v>
      </c>
      <c r="B18" s="95" t="s">
        <v>418</v>
      </c>
      <c r="C18" s="81" t="s">
        <v>419</v>
      </c>
      <c r="D18" s="82" t="s">
        <v>365</v>
      </c>
      <c r="E18" s="81"/>
      <c r="F18" s="81" t="s">
        <v>363</v>
      </c>
      <c r="G18" s="93" t="s">
        <v>57</v>
      </c>
      <c r="H18" s="93" t="s">
        <v>373</v>
      </c>
      <c r="I18" s="93" t="s">
        <v>377</v>
      </c>
      <c r="J18" s="93" t="s">
        <v>373</v>
      </c>
      <c r="K18" s="97" t="s">
        <v>443</v>
      </c>
      <c r="L18" s="81" t="s">
        <v>380</v>
      </c>
      <c r="M18" s="89" t="s">
        <v>426</v>
      </c>
    </row>
    <row r="19" spans="1:13" s="96" customFormat="1" ht="116.25" customHeight="1" x14ac:dyDescent="0.25">
      <c r="A19" s="94">
        <v>13</v>
      </c>
      <c r="B19" s="95" t="s">
        <v>430</v>
      </c>
      <c r="C19" s="81" t="s">
        <v>431</v>
      </c>
      <c r="D19" s="82" t="s">
        <v>432</v>
      </c>
      <c r="E19" s="81"/>
      <c r="F19" s="81" t="s">
        <v>433</v>
      </c>
      <c r="G19" s="93" t="s">
        <v>57</v>
      </c>
      <c r="H19" s="93" t="s">
        <v>373</v>
      </c>
      <c r="I19" s="93" t="s">
        <v>377</v>
      </c>
      <c r="J19" s="93" t="s">
        <v>373</v>
      </c>
      <c r="K19" s="92" t="s">
        <v>435</v>
      </c>
      <c r="L19" s="81" t="s">
        <v>436</v>
      </c>
      <c r="M19" s="89" t="s">
        <v>434</v>
      </c>
    </row>
  </sheetData>
  <autoFilter ref="A6:M19" xr:uid="{00000000-0009-0000-0000-000001000000}"/>
  <mergeCells count="11">
    <mergeCell ref="M5:M6"/>
    <mergeCell ref="A5:A6"/>
    <mergeCell ref="J5:J6"/>
    <mergeCell ref="L5:L6"/>
    <mergeCell ref="A2:L2"/>
    <mergeCell ref="A4:L4"/>
    <mergeCell ref="F5:I5"/>
    <mergeCell ref="B5:B6"/>
    <mergeCell ref="C5:C6"/>
    <mergeCell ref="D5:D6"/>
    <mergeCell ref="A3:L3"/>
  </mergeCells>
  <printOptions horizontalCentered="1"/>
  <pageMargins left="7.874015748031496E-2" right="7.874015748031496E-2" top="0.23622047244094491" bottom="0.15748031496062992" header="0.11811023622047245" footer="0.11811023622047245"/>
  <pageSetup paperSize="9" scale="57" fitToHeight="8" orientation="landscape" r:id="rId1"/>
  <rowBreaks count="4" manualBreakCount="4">
    <brk id="6" max="12" man="1"/>
    <brk id="10" max="12" man="1"/>
    <brk id="13" max="12" man="1"/>
    <brk id="18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9"/>
  <sheetViews>
    <sheetView topLeftCell="A56" workbookViewId="0">
      <selection activeCell="H76" sqref="H76"/>
    </sheetView>
  </sheetViews>
  <sheetFormatPr defaultRowHeight="15.75" x14ac:dyDescent="0.25"/>
  <cols>
    <col min="1" max="1" width="4.140625" style="61" customWidth="1"/>
    <col min="2" max="2" width="35.28515625" customWidth="1"/>
    <col min="3" max="3" width="24" style="33" customWidth="1"/>
    <col min="4" max="4" width="18" style="33" customWidth="1"/>
    <col min="5" max="5" width="23.28515625" style="35" customWidth="1"/>
    <col min="6" max="6" width="24.7109375" customWidth="1"/>
    <col min="7" max="7" width="21.85546875" style="35" customWidth="1"/>
  </cols>
  <sheetData>
    <row r="1" spans="1:7" ht="43.5" customHeight="1" x14ac:dyDescent="0.25">
      <c r="A1" s="111" t="s">
        <v>279</v>
      </c>
      <c r="B1" s="112"/>
      <c r="C1" s="112"/>
      <c r="D1" s="112"/>
    </row>
    <row r="2" spans="1:7" ht="22.5" customHeight="1" x14ac:dyDescent="0.25">
      <c r="A2" s="26" t="s">
        <v>38</v>
      </c>
      <c r="B2" s="26" t="s">
        <v>45</v>
      </c>
      <c r="C2" s="26" t="s">
        <v>46</v>
      </c>
      <c r="D2" s="45" t="s">
        <v>47</v>
      </c>
      <c r="E2" s="26" t="s">
        <v>316</v>
      </c>
      <c r="F2" s="26" t="s">
        <v>318</v>
      </c>
      <c r="G2" s="26" t="s">
        <v>332</v>
      </c>
    </row>
    <row r="3" spans="1:7" x14ac:dyDescent="0.25">
      <c r="A3" s="60">
        <v>1</v>
      </c>
      <c r="B3" s="37" t="s">
        <v>89</v>
      </c>
      <c r="C3" s="32" t="s">
        <v>34</v>
      </c>
      <c r="D3" s="47" t="s">
        <v>138</v>
      </c>
      <c r="E3" s="54"/>
      <c r="F3" s="14"/>
      <c r="G3" s="54"/>
    </row>
    <row r="4" spans="1:7" ht="19.5" customHeight="1" x14ac:dyDescent="0.25">
      <c r="A4" s="60">
        <v>2</v>
      </c>
      <c r="B4" s="17" t="s">
        <v>76</v>
      </c>
      <c r="C4" s="3" t="s">
        <v>34</v>
      </c>
      <c r="D4" s="47" t="s">
        <v>77</v>
      </c>
      <c r="E4" s="54"/>
      <c r="F4" s="14"/>
      <c r="G4" s="54"/>
    </row>
    <row r="5" spans="1:7" ht="47.25" x14ac:dyDescent="0.25">
      <c r="A5" s="60">
        <v>3</v>
      </c>
      <c r="B5" s="17" t="s">
        <v>78</v>
      </c>
      <c r="C5" s="3" t="s">
        <v>34</v>
      </c>
      <c r="D5" s="47" t="s">
        <v>77</v>
      </c>
      <c r="E5" s="57" t="s">
        <v>344</v>
      </c>
      <c r="F5" s="64" t="s">
        <v>343</v>
      </c>
      <c r="G5" s="57" t="s">
        <v>333</v>
      </c>
    </row>
    <row r="6" spans="1:7" x14ac:dyDescent="0.25">
      <c r="A6" s="60">
        <v>4</v>
      </c>
      <c r="B6" s="17" t="s">
        <v>239</v>
      </c>
      <c r="C6" s="3" t="s">
        <v>34</v>
      </c>
      <c r="D6" s="48" t="s">
        <v>114</v>
      </c>
      <c r="E6" s="54"/>
      <c r="F6" s="14"/>
      <c r="G6" s="54"/>
    </row>
    <row r="7" spans="1:7" x14ac:dyDescent="0.25">
      <c r="A7" s="60">
        <v>5</v>
      </c>
      <c r="B7" s="17" t="s">
        <v>240</v>
      </c>
      <c r="C7" s="3" t="s">
        <v>34</v>
      </c>
      <c r="D7" s="48" t="s">
        <v>130</v>
      </c>
      <c r="E7" s="54"/>
      <c r="F7" s="14"/>
      <c r="G7" s="54"/>
    </row>
    <row r="8" spans="1:7" x14ac:dyDescent="0.25">
      <c r="A8" s="60">
        <v>6</v>
      </c>
      <c r="B8" s="17" t="s">
        <v>241</v>
      </c>
      <c r="C8" s="3" t="s">
        <v>34</v>
      </c>
      <c r="D8" s="48" t="s">
        <v>145</v>
      </c>
      <c r="E8" s="54"/>
      <c r="F8" s="14"/>
      <c r="G8" s="54"/>
    </row>
    <row r="9" spans="1:7" x14ac:dyDescent="0.25">
      <c r="A9" s="60">
        <v>7</v>
      </c>
      <c r="B9" s="38" t="s">
        <v>242</v>
      </c>
      <c r="C9" s="6" t="s">
        <v>34</v>
      </c>
      <c r="D9" s="49" t="s">
        <v>148</v>
      </c>
      <c r="E9" s="54"/>
      <c r="F9" s="14"/>
      <c r="G9" s="54"/>
    </row>
    <row r="10" spans="1:7" ht="18.75" customHeight="1" x14ac:dyDescent="0.25">
      <c r="A10" s="60">
        <v>8</v>
      </c>
      <c r="B10" s="38" t="s">
        <v>243</v>
      </c>
      <c r="C10" s="6" t="s">
        <v>34</v>
      </c>
      <c r="D10" s="49" t="s">
        <v>148</v>
      </c>
      <c r="E10" s="54"/>
      <c r="F10" s="14"/>
      <c r="G10" s="54"/>
    </row>
    <row r="11" spans="1:7" ht="15" customHeight="1" x14ac:dyDescent="0.25">
      <c r="A11" s="60">
        <v>9</v>
      </c>
      <c r="B11" s="17" t="s">
        <v>244</v>
      </c>
      <c r="C11" s="3" t="s">
        <v>34</v>
      </c>
      <c r="D11" s="48" t="s">
        <v>164</v>
      </c>
      <c r="E11" s="54"/>
      <c r="F11" s="14"/>
      <c r="G11" s="54"/>
    </row>
    <row r="12" spans="1:7" x14ac:dyDescent="0.25">
      <c r="A12" s="60">
        <v>10</v>
      </c>
      <c r="B12" s="17" t="s">
        <v>53</v>
      </c>
      <c r="C12" s="3" t="s">
        <v>33</v>
      </c>
      <c r="D12" s="47" t="s">
        <v>54</v>
      </c>
      <c r="E12" s="54"/>
      <c r="F12" s="14"/>
      <c r="G12" s="54"/>
    </row>
    <row r="13" spans="1:7" ht="16.5" customHeight="1" x14ac:dyDescent="0.25">
      <c r="A13" s="60">
        <v>11</v>
      </c>
      <c r="B13" s="17" t="s">
        <v>58</v>
      </c>
      <c r="C13" s="3" t="s">
        <v>33</v>
      </c>
      <c r="D13" s="47" t="s">
        <v>59</v>
      </c>
      <c r="E13" s="54"/>
      <c r="F13" s="14"/>
      <c r="G13" s="54"/>
    </row>
    <row r="14" spans="1:7" x14ac:dyDescent="0.25">
      <c r="A14" s="60">
        <v>12</v>
      </c>
      <c r="B14" s="17" t="s">
        <v>62</v>
      </c>
      <c r="C14" s="3" t="s">
        <v>33</v>
      </c>
      <c r="D14" s="47" t="s">
        <v>61</v>
      </c>
      <c r="E14" s="54"/>
      <c r="F14" s="14"/>
      <c r="G14" s="54"/>
    </row>
    <row r="15" spans="1:7" x14ac:dyDescent="0.25">
      <c r="A15" s="60">
        <v>13</v>
      </c>
      <c r="B15" s="17" t="s">
        <v>65</v>
      </c>
      <c r="C15" s="3" t="s">
        <v>33</v>
      </c>
      <c r="D15" s="47" t="s">
        <v>61</v>
      </c>
      <c r="E15" s="54" t="s">
        <v>317</v>
      </c>
      <c r="F15" s="14" t="s">
        <v>319</v>
      </c>
      <c r="G15" s="54"/>
    </row>
    <row r="16" spans="1:7" x14ac:dyDescent="0.25">
      <c r="A16" s="60">
        <v>14</v>
      </c>
      <c r="B16" s="17" t="s">
        <v>66</v>
      </c>
      <c r="C16" s="3" t="s">
        <v>33</v>
      </c>
      <c r="D16" s="47" t="s">
        <v>67</v>
      </c>
      <c r="E16" s="54" t="s">
        <v>320</v>
      </c>
      <c r="F16" s="14" t="s">
        <v>323</v>
      </c>
      <c r="G16" s="54"/>
    </row>
    <row r="17" spans="1:7" x14ac:dyDescent="0.25">
      <c r="A17" s="60">
        <v>15</v>
      </c>
      <c r="B17" s="17" t="s">
        <v>70</v>
      </c>
      <c r="C17" s="3" t="s">
        <v>33</v>
      </c>
      <c r="D17" s="47" t="s">
        <v>71</v>
      </c>
      <c r="E17" s="54" t="s">
        <v>321</v>
      </c>
      <c r="F17" s="14" t="s">
        <v>324</v>
      </c>
      <c r="G17" s="54"/>
    </row>
    <row r="18" spans="1:7" x14ac:dyDescent="0.25">
      <c r="A18" s="60">
        <v>16</v>
      </c>
      <c r="B18" s="17" t="s">
        <v>74</v>
      </c>
      <c r="C18" s="3" t="s">
        <v>33</v>
      </c>
      <c r="D18" s="47" t="s">
        <v>75</v>
      </c>
      <c r="E18" s="54"/>
      <c r="F18" s="14"/>
      <c r="G18" s="54"/>
    </row>
    <row r="19" spans="1:7" x14ac:dyDescent="0.25">
      <c r="A19" s="60">
        <v>17</v>
      </c>
      <c r="B19" s="17" t="s">
        <v>88</v>
      </c>
      <c r="C19" s="3" t="s">
        <v>33</v>
      </c>
      <c r="D19" s="47" t="s">
        <v>86</v>
      </c>
      <c r="E19" s="54"/>
      <c r="F19" s="14"/>
      <c r="G19" s="54"/>
    </row>
    <row r="20" spans="1:7" x14ac:dyDescent="0.25">
      <c r="A20" s="60">
        <v>18</v>
      </c>
      <c r="B20" s="17" t="s">
        <v>90</v>
      </c>
      <c r="C20" s="3" t="s">
        <v>33</v>
      </c>
      <c r="D20" s="47" t="s">
        <v>139</v>
      </c>
      <c r="E20" s="54"/>
      <c r="F20" s="14"/>
      <c r="G20" s="54"/>
    </row>
    <row r="21" spans="1:7" x14ac:dyDescent="0.25">
      <c r="A21" s="60">
        <v>19</v>
      </c>
      <c r="B21" s="17" t="s">
        <v>245</v>
      </c>
      <c r="C21" s="3" t="s">
        <v>33</v>
      </c>
      <c r="D21" s="47" t="s">
        <v>91</v>
      </c>
      <c r="E21" s="54"/>
      <c r="F21" s="14"/>
      <c r="G21" s="54"/>
    </row>
    <row r="22" spans="1:7" ht="30" x14ac:dyDescent="0.25">
      <c r="A22" s="60">
        <v>20</v>
      </c>
      <c r="B22" s="17" t="s">
        <v>246</v>
      </c>
      <c r="C22" s="3" t="s">
        <v>33</v>
      </c>
      <c r="D22" s="48" t="s">
        <v>101</v>
      </c>
      <c r="E22" s="57" t="s">
        <v>330</v>
      </c>
      <c r="F22" s="14" t="s">
        <v>331</v>
      </c>
      <c r="G22" s="57" t="s">
        <v>333</v>
      </c>
    </row>
    <row r="23" spans="1:7" x14ac:dyDescent="0.25">
      <c r="A23" s="60">
        <v>21</v>
      </c>
      <c r="B23" s="17" t="s">
        <v>247</v>
      </c>
      <c r="C23" s="3" t="s">
        <v>33</v>
      </c>
      <c r="D23" s="48" t="s">
        <v>104</v>
      </c>
      <c r="E23" s="54" t="s">
        <v>322</v>
      </c>
      <c r="F23" s="14" t="s">
        <v>325</v>
      </c>
      <c r="G23" s="54"/>
    </row>
    <row r="24" spans="1:7" ht="30" x14ac:dyDescent="0.25">
      <c r="A24" s="60">
        <v>22</v>
      </c>
      <c r="B24" s="17" t="s">
        <v>248</v>
      </c>
      <c r="C24" s="3" t="s">
        <v>33</v>
      </c>
      <c r="D24" s="48" t="s">
        <v>152</v>
      </c>
      <c r="E24" s="54" t="s">
        <v>334</v>
      </c>
      <c r="F24" s="59" t="s">
        <v>336</v>
      </c>
      <c r="G24" s="57" t="s">
        <v>333</v>
      </c>
    </row>
    <row r="25" spans="1:7" x14ac:dyDescent="0.25">
      <c r="A25" s="60">
        <v>23</v>
      </c>
      <c r="B25" s="17" t="s">
        <v>249</v>
      </c>
      <c r="C25" s="3" t="s">
        <v>33</v>
      </c>
      <c r="D25" s="48" t="s">
        <v>161</v>
      </c>
      <c r="E25" s="54"/>
      <c r="F25" s="14"/>
      <c r="G25" s="54"/>
    </row>
    <row r="26" spans="1:7" x14ac:dyDescent="0.25">
      <c r="A26" s="60">
        <v>24</v>
      </c>
      <c r="B26" s="17" t="s">
        <v>250</v>
      </c>
      <c r="C26" s="3" t="s">
        <v>33</v>
      </c>
      <c r="D26" s="48" t="s">
        <v>161</v>
      </c>
      <c r="E26" s="54"/>
      <c r="F26" s="14"/>
      <c r="G26" s="54"/>
    </row>
    <row r="27" spans="1:7" ht="30" x14ac:dyDescent="0.25">
      <c r="A27" s="60">
        <v>25</v>
      </c>
      <c r="B27" s="17" t="s">
        <v>251</v>
      </c>
      <c r="C27" s="3" t="s">
        <v>33</v>
      </c>
      <c r="D27" s="50" t="s">
        <v>222</v>
      </c>
      <c r="E27" s="54" t="s">
        <v>337</v>
      </c>
      <c r="F27" s="59" t="s">
        <v>336</v>
      </c>
      <c r="G27" s="57" t="s">
        <v>333</v>
      </c>
    </row>
    <row r="28" spans="1:7" x14ac:dyDescent="0.25">
      <c r="A28" s="60">
        <v>26</v>
      </c>
      <c r="B28" s="17" t="s">
        <v>252</v>
      </c>
      <c r="C28" s="3" t="s">
        <v>237</v>
      </c>
      <c r="D28" s="48" t="s">
        <v>131</v>
      </c>
      <c r="E28" s="54"/>
      <c r="F28" s="14"/>
      <c r="G28" s="54"/>
    </row>
    <row r="29" spans="1:7" x14ac:dyDescent="0.25">
      <c r="A29" s="60">
        <v>27</v>
      </c>
      <c r="B29" s="39" t="s">
        <v>253</v>
      </c>
      <c r="C29" s="7" t="s">
        <v>155</v>
      </c>
      <c r="D29" s="51" t="s">
        <v>225</v>
      </c>
      <c r="E29" s="54"/>
      <c r="F29" s="14"/>
      <c r="G29" s="54"/>
    </row>
    <row r="30" spans="1:7" x14ac:dyDescent="0.25">
      <c r="A30" s="60">
        <v>28</v>
      </c>
      <c r="B30" s="13" t="s">
        <v>254</v>
      </c>
      <c r="C30" s="36" t="s">
        <v>35</v>
      </c>
      <c r="D30" s="47" t="s">
        <v>119</v>
      </c>
      <c r="E30" s="54"/>
      <c r="F30" s="14"/>
      <c r="G30" s="54"/>
    </row>
    <row r="31" spans="1:7" x14ac:dyDescent="0.25">
      <c r="A31" s="60">
        <v>29</v>
      </c>
      <c r="B31" s="40" t="s">
        <v>72</v>
      </c>
      <c r="C31" s="7" t="s">
        <v>35</v>
      </c>
      <c r="D31" s="51" t="s">
        <v>73</v>
      </c>
      <c r="E31" s="54"/>
      <c r="F31" s="14"/>
      <c r="G31" s="54"/>
    </row>
    <row r="32" spans="1:7" ht="16.5" customHeight="1" x14ac:dyDescent="0.25">
      <c r="A32" s="60">
        <v>30</v>
      </c>
      <c r="B32" s="17" t="s">
        <v>255</v>
      </c>
      <c r="C32" s="3" t="s">
        <v>35</v>
      </c>
      <c r="D32" s="48" t="s">
        <v>103</v>
      </c>
      <c r="E32" s="54"/>
      <c r="F32" s="14"/>
      <c r="G32" s="54"/>
    </row>
    <row r="33" spans="1:7" x14ac:dyDescent="0.25">
      <c r="A33" s="60">
        <v>31</v>
      </c>
      <c r="B33" s="41" t="s">
        <v>256</v>
      </c>
      <c r="C33" s="3" t="s">
        <v>35</v>
      </c>
      <c r="D33" s="48" t="s">
        <v>102</v>
      </c>
      <c r="E33" s="54"/>
      <c r="F33" s="14"/>
      <c r="G33" s="54"/>
    </row>
    <row r="34" spans="1:7" x14ac:dyDescent="0.25">
      <c r="A34" s="60">
        <v>32</v>
      </c>
      <c r="B34" s="17" t="s">
        <v>257</v>
      </c>
      <c r="C34" s="3" t="s">
        <v>35</v>
      </c>
      <c r="D34" s="48" t="s">
        <v>152</v>
      </c>
      <c r="E34" s="54"/>
      <c r="F34" s="14"/>
      <c r="G34" s="54"/>
    </row>
    <row r="35" spans="1:7" x14ac:dyDescent="0.25">
      <c r="A35" s="60">
        <v>33</v>
      </c>
      <c r="B35" s="17" t="s">
        <v>258</v>
      </c>
      <c r="C35" s="3" t="s">
        <v>35</v>
      </c>
      <c r="D35" s="48" t="s">
        <v>160</v>
      </c>
      <c r="E35" s="54"/>
      <c r="F35" s="14"/>
      <c r="G35" s="54"/>
    </row>
    <row r="36" spans="1:7" x14ac:dyDescent="0.25">
      <c r="A36" s="60">
        <v>34</v>
      </c>
      <c r="B36" s="17" t="s">
        <v>259</v>
      </c>
      <c r="C36" s="3" t="s">
        <v>35</v>
      </c>
      <c r="D36" s="48" t="s">
        <v>172</v>
      </c>
      <c r="E36" s="54"/>
      <c r="F36" s="14"/>
      <c r="G36" s="54"/>
    </row>
    <row r="37" spans="1:7" x14ac:dyDescent="0.25">
      <c r="A37" s="60">
        <v>35</v>
      </c>
      <c r="B37" s="13" t="s">
        <v>260</v>
      </c>
      <c r="C37" s="3" t="s">
        <v>35</v>
      </c>
      <c r="D37" s="48" t="s">
        <v>189</v>
      </c>
      <c r="E37" s="54"/>
      <c r="F37" s="14"/>
      <c r="G37" s="54"/>
    </row>
    <row r="38" spans="1:7" x14ac:dyDescent="0.25">
      <c r="A38" s="60">
        <v>36</v>
      </c>
      <c r="B38" s="40" t="s">
        <v>68</v>
      </c>
      <c r="C38" s="7" t="s">
        <v>35</v>
      </c>
      <c r="D38" s="51" t="s">
        <v>69</v>
      </c>
      <c r="E38" s="54" t="s">
        <v>326</v>
      </c>
      <c r="F38" s="14" t="s">
        <v>327</v>
      </c>
      <c r="G38" s="54"/>
    </row>
    <row r="39" spans="1:7" x14ac:dyDescent="0.25">
      <c r="A39" s="60">
        <v>37</v>
      </c>
      <c r="B39" s="17" t="s">
        <v>79</v>
      </c>
      <c r="C39" s="3" t="s">
        <v>80</v>
      </c>
      <c r="D39" s="47" t="s">
        <v>81</v>
      </c>
      <c r="E39" s="54"/>
      <c r="F39" s="14"/>
      <c r="G39" s="54"/>
    </row>
    <row r="40" spans="1:7" x14ac:dyDescent="0.25">
      <c r="A40" s="60">
        <v>38</v>
      </c>
      <c r="B40" s="17" t="s">
        <v>82</v>
      </c>
      <c r="C40" s="3" t="s">
        <v>80</v>
      </c>
      <c r="D40" s="47" t="s">
        <v>81</v>
      </c>
      <c r="E40" s="54"/>
      <c r="F40" s="14"/>
      <c r="G40" s="54"/>
    </row>
    <row r="41" spans="1:7" x14ac:dyDescent="0.25">
      <c r="A41" s="60">
        <v>39</v>
      </c>
      <c r="B41" s="17" t="s">
        <v>83</v>
      </c>
      <c r="C41" s="3" t="s">
        <v>80</v>
      </c>
      <c r="D41" s="47" t="s">
        <v>81</v>
      </c>
      <c r="E41" s="54" t="s">
        <v>328</v>
      </c>
      <c r="F41" s="14" t="s">
        <v>329</v>
      </c>
      <c r="G41" s="54"/>
    </row>
    <row r="42" spans="1:7" x14ac:dyDescent="0.25">
      <c r="A42" s="60">
        <v>40</v>
      </c>
      <c r="B42" s="3" t="s">
        <v>84</v>
      </c>
      <c r="C42" s="3" t="s">
        <v>80</v>
      </c>
      <c r="D42" s="47" t="s">
        <v>81</v>
      </c>
      <c r="E42" s="54"/>
      <c r="F42" s="14"/>
      <c r="G42" s="54"/>
    </row>
    <row r="43" spans="1:7" x14ac:dyDescent="0.25">
      <c r="A43" s="60">
        <v>41</v>
      </c>
      <c r="B43" s="17" t="s">
        <v>85</v>
      </c>
      <c r="C43" s="3" t="s">
        <v>80</v>
      </c>
      <c r="D43" s="47" t="s">
        <v>86</v>
      </c>
      <c r="E43" s="54"/>
      <c r="F43" s="14"/>
      <c r="G43" s="54"/>
    </row>
    <row r="44" spans="1:7" s="34" customFormat="1" ht="17.25" customHeight="1" x14ac:dyDescent="0.25">
      <c r="A44" s="60">
        <v>42</v>
      </c>
      <c r="B44" s="17" t="s">
        <v>87</v>
      </c>
      <c r="C44" s="3" t="s">
        <v>80</v>
      </c>
      <c r="D44" s="47" t="s">
        <v>86</v>
      </c>
      <c r="E44" s="54"/>
      <c r="F44" s="53"/>
      <c r="G44" s="54"/>
    </row>
    <row r="45" spans="1:7" s="35" customFormat="1" ht="17.25" customHeight="1" x14ac:dyDescent="0.25">
      <c r="A45" s="60">
        <v>43</v>
      </c>
      <c r="B45" s="17" t="s">
        <v>95</v>
      </c>
      <c r="C45" s="3" t="s">
        <v>80</v>
      </c>
      <c r="D45" s="48" t="s">
        <v>96</v>
      </c>
      <c r="E45" s="54"/>
      <c r="F45" s="54"/>
      <c r="G45" s="54"/>
    </row>
    <row r="46" spans="1:7" s="34" customFormat="1" x14ac:dyDescent="0.25">
      <c r="A46" s="60">
        <v>44</v>
      </c>
      <c r="B46" s="17" t="s">
        <v>261</v>
      </c>
      <c r="C46" s="3" t="s">
        <v>80</v>
      </c>
      <c r="D46" s="48" t="s">
        <v>118</v>
      </c>
      <c r="E46" s="54"/>
      <c r="F46" s="53"/>
      <c r="G46" s="54"/>
    </row>
    <row r="47" spans="1:7" x14ac:dyDescent="0.25">
      <c r="A47" s="60">
        <v>45</v>
      </c>
      <c r="B47" s="17" t="s">
        <v>262</v>
      </c>
      <c r="C47" s="3" t="s">
        <v>80</v>
      </c>
      <c r="D47" s="48" t="s">
        <v>94</v>
      </c>
      <c r="E47" s="54"/>
      <c r="F47" s="14"/>
      <c r="G47" s="54"/>
    </row>
    <row r="48" spans="1:7" x14ac:dyDescent="0.25">
      <c r="A48" s="60">
        <v>46</v>
      </c>
      <c r="B48" s="17" t="s">
        <v>263</v>
      </c>
      <c r="C48" s="3" t="s">
        <v>80</v>
      </c>
      <c r="D48" s="48" t="s">
        <v>94</v>
      </c>
      <c r="E48" s="54"/>
      <c r="F48" s="14"/>
      <c r="G48" s="54"/>
    </row>
    <row r="49" spans="1:7" ht="18" customHeight="1" x14ac:dyDescent="0.25">
      <c r="A49" s="60">
        <v>47</v>
      </c>
      <c r="B49" s="38" t="s">
        <v>264</v>
      </c>
      <c r="C49" s="6" t="s">
        <v>80</v>
      </c>
      <c r="D49" s="49" t="s">
        <v>106</v>
      </c>
      <c r="E49" s="54"/>
      <c r="F49" s="14"/>
      <c r="G49" s="54"/>
    </row>
    <row r="50" spans="1:7" ht="18.75" customHeight="1" x14ac:dyDescent="0.25">
      <c r="A50" s="60">
        <v>48</v>
      </c>
      <c r="B50" s="38" t="s">
        <v>265</v>
      </c>
      <c r="C50" s="6" t="s">
        <v>80</v>
      </c>
      <c r="D50" s="49" t="s">
        <v>106</v>
      </c>
      <c r="E50" s="54"/>
      <c r="F50" s="14"/>
      <c r="G50" s="54"/>
    </row>
    <row r="51" spans="1:7" x14ac:dyDescent="0.25">
      <c r="A51" s="60">
        <v>49</v>
      </c>
      <c r="B51" s="38" t="s">
        <v>236</v>
      </c>
      <c r="C51" s="6" t="s">
        <v>80</v>
      </c>
      <c r="D51" s="49" t="s">
        <v>106</v>
      </c>
      <c r="E51" s="54"/>
      <c r="F51" s="14"/>
      <c r="G51" s="54"/>
    </row>
    <row r="52" spans="1:7" x14ac:dyDescent="0.25">
      <c r="A52" s="60">
        <v>50</v>
      </c>
      <c r="B52" s="17" t="s">
        <v>266</v>
      </c>
      <c r="C52" s="3" t="s">
        <v>80</v>
      </c>
      <c r="D52" s="48" t="s">
        <v>178</v>
      </c>
      <c r="E52" s="54"/>
      <c r="F52" s="14"/>
      <c r="G52" s="54"/>
    </row>
    <row r="53" spans="1:7" x14ac:dyDescent="0.25">
      <c r="A53" s="60">
        <v>51</v>
      </c>
      <c r="B53" s="17" t="s">
        <v>64</v>
      </c>
      <c r="C53" s="3" t="s">
        <v>30</v>
      </c>
      <c r="D53" s="47" t="s">
        <v>61</v>
      </c>
      <c r="E53" s="54"/>
      <c r="F53" s="14"/>
      <c r="G53" s="54"/>
    </row>
    <row r="54" spans="1:7" s="31" customFormat="1" x14ac:dyDescent="0.25">
      <c r="A54" s="60">
        <v>52</v>
      </c>
      <c r="B54" s="17" t="s">
        <v>267</v>
      </c>
      <c r="C54" s="3" t="s">
        <v>30</v>
      </c>
      <c r="D54" s="48" t="s">
        <v>92</v>
      </c>
      <c r="E54" s="54"/>
      <c r="F54" s="55"/>
      <c r="G54" s="54"/>
    </row>
    <row r="55" spans="1:7" s="31" customFormat="1" ht="30" customHeight="1" x14ac:dyDescent="0.25">
      <c r="A55" s="60">
        <v>53</v>
      </c>
      <c r="B55" s="17" t="s">
        <v>268</v>
      </c>
      <c r="C55" s="3" t="s">
        <v>30</v>
      </c>
      <c r="D55" s="48" t="s">
        <v>108</v>
      </c>
      <c r="E55" s="54" t="s">
        <v>326</v>
      </c>
      <c r="F55" s="56" t="s">
        <v>335</v>
      </c>
      <c r="G55" s="54"/>
    </row>
    <row r="56" spans="1:7" x14ac:dyDescent="0.25">
      <c r="A56" s="60">
        <v>54</v>
      </c>
      <c r="B56" s="17" t="s">
        <v>269</v>
      </c>
      <c r="C56" s="3" t="s">
        <v>30</v>
      </c>
      <c r="D56" s="48" t="s">
        <v>108</v>
      </c>
      <c r="E56" s="54"/>
      <c r="F56" s="14"/>
      <c r="G56" s="54"/>
    </row>
    <row r="57" spans="1:7" x14ac:dyDescent="0.25">
      <c r="A57" s="60">
        <v>55</v>
      </c>
      <c r="B57" s="17" t="s">
        <v>270</v>
      </c>
      <c r="C57" s="3" t="s">
        <v>30</v>
      </c>
      <c r="D57" s="48" t="s">
        <v>146</v>
      </c>
      <c r="E57" s="54"/>
      <c r="F57" s="14"/>
      <c r="G57" s="54"/>
    </row>
    <row r="58" spans="1:7" x14ac:dyDescent="0.25">
      <c r="A58" s="60">
        <v>56</v>
      </c>
      <c r="B58" s="17" t="s">
        <v>271</v>
      </c>
      <c r="C58" s="3" t="s">
        <v>30</v>
      </c>
      <c r="D58" s="48" t="s">
        <v>135</v>
      </c>
      <c r="E58" s="54"/>
      <c r="F58" s="14"/>
      <c r="G58" s="54"/>
    </row>
    <row r="59" spans="1:7" x14ac:dyDescent="0.25">
      <c r="A59" s="60">
        <v>57</v>
      </c>
      <c r="B59" s="17" t="s">
        <v>272</v>
      </c>
      <c r="C59" s="3" t="s">
        <v>30</v>
      </c>
      <c r="D59" s="48" t="s">
        <v>135</v>
      </c>
      <c r="E59" s="54"/>
      <c r="F59" s="14"/>
      <c r="G59" s="54"/>
    </row>
    <row r="60" spans="1:7" x14ac:dyDescent="0.25">
      <c r="A60" s="60">
        <v>58</v>
      </c>
      <c r="B60" s="17" t="s">
        <v>273</v>
      </c>
      <c r="C60" s="3" t="s">
        <v>30</v>
      </c>
      <c r="D60" s="48" t="s">
        <v>190</v>
      </c>
      <c r="E60" s="54"/>
      <c r="F60" s="14"/>
      <c r="G60" s="54"/>
    </row>
    <row r="61" spans="1:7" x14ac:dyDescent="0.25">
      <c r="A61" s="60">
        <v>59</v>
      </c>
      <c r="B61" s="17" t="s">
        <v>274</v>
      </c>
      <c r="C61" s="3" t="s">
        <v>30</v>
      </c>
      <c r="D61" s="48" t="s">
        <v>190</v>
      </c>
      <c r="E61" s="54"/>
      <c r="F61" s="14"/>
      <c r="G61" s="54"/>
    </row>
    <row r="62" spans="1:7" x14ac:dyDescent="0.25">
      <c r="A62" s="60">
        <v>60</v>
      </c>
      <c r="B62" s="17" t="s">
        <v>275</v>
      </c>
      <c r="C62" s="3" t="s">
        <v>30</v>
      </c>
      <c r="D62" s="52">
        <v>43578</v>
      </c>
      <c r="E62" s="54"/>
      <c r="F62" s="14"/>
      <c r="G62" s="54"/>
    </row>
    <row r="63" spans="1:7" ht="30" x14ac:dyDescent="0.25">
      <c r="A63" s="60">
        <v>61</v>
      </c>
      <c r="B63" s="17" t="s">
        <v>276</v>
      </c>
      <c r="C63" s="3" t="s">
        <v>111</v>
      </c>
      <c r="D63" s="48" t="s">
        <v>112</v>
      </c>
      <c r="E63" s="54" t="s">
        <v>338</v>
      </c>
      <c r="F63" s="58" t="s">
        <v>339</v>
      </c>
      <c r="G63" s="57" t="s">
        <v>333</v>
      </c>
    </row>
    <row r="64" spans="1:7" x14ac:dyDescent="0.25">
      <c r="A64" s="60">
        <v>62</v>
      </c>
      <c r="B64" s="17" t="s">
        <v>277</v>
      </c>
      <c r="C64" s="3" t="s">
        <v>111</v>
      </c>
      <c r="D64" s="48" t="s">
        <v>133</v>
      </c>
      <c r="E64" s="54"/>
      <c r="F64" s="14"/>
      <c r="G64" s="54"/>
    </row>
    <row r="65" spans="1:7" x14ac:dyDescent="0.25">
      <c r="A65" s="60">
        <v>63</v>
      </c>
      <c r="B65" s="17" t="s">
        <v>278</v>
      </c>
      <c r="C65" s="3" t="s">
        <v>111</v>
      </c>
      <c r="D65" s="48" t="s">
        <v>133</v>
      </c>
      <c r="E65" s="54"/>
      <c r="F65" s="14"/>
      <c r="G65" s="54"/>
    </row>
    <row r="66" spans="1:7" x14ac:dyDescent="0.25">
      <c r="A66" s="60">
        <v>64</v>
      </c>
      <c r="B66" s="17" t="s">
        <v>60</v>
      </c>
      <c r="C66" s="3" t="s">
        <v>238</v>
      </c>
      <c r="D66" s="47" t="s">
        <v>61</v>
      </c>
      <c r="E66" s="54"/>
      <c r="F66" s="14"/>
      <c r="G66" s="54"/>
    </row>
    <row r="67" spans="1:7" ht="47.25" x14ac:dyDescent="0.25">
      <c r="A67" s="60">
        <v>65</v>
      </c>
      <c r="B67" s="3" t="s">
        <v>282</v>
      </c>
      <c r="C67" s="8" t="s">
        <v>286</v>
      </c>
      <c r="D67" s="30">
        <v>43631</v>
      </c>
      <c r="E67" s="54" t="s">
        <v>342</v>
      </c>
      <c r="F67" s="63" t="s">
        <v>341</v>
      </c>
      <c r="G67" s="57" t="s">
        <v>333</v>
      </c>
    </row>
    <row r="68" spans="1:7" x14ac:dyDescent="0.25">
      <c r="A68" s="62">
        <v>66</v>
      </c>
      <c r="B68" s="8" t="s">
        <v>285</v>
      </c>
      <c r="C68" s="8" t="s">
        <v>287</v>
      </c>
      <c r="D68" s="30">
        <v>43632</v>
      </c>
      <c r="E68" s="54"/>
      <c r="F68" s="14"/>
      <c r="G68" s="54"/>
    </row>
    <row r="69" spans="1:7" x14ac:dyDescent="0.25">
      <c r="A69" s="62">
        <v>67</v>
      </c>
      <c r="B69" s="8" t="s">
        <v>295</v>
      </c>
      <c r="C69" s="8" t="s">
        <v>169</v>
      </c>
      <c r="D69" s="30">
        <v>43634</v>
      </c>
      <c r="E69" s="54"/>
      <c r="F69" s="14"/>
      <c r="G69" s="54"/>
    </row>
  </sheetData>
  <sortState xmlns:xlrd2="http://schemas.microsoft.com/office/spreadsheetml/2017/richdata2" ref="B1:D65">
    <sortCondition ref="C1:C65"/>
  </sortState>
  <mergeCells count="1">
    <mergeCell ref="A1:D1"/>
  </mergeCells>
  <pageMargins left="1.1000000000000001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"/>
  <sheetViews>
    <sheetView zoomScale="70" zoomScaleNormal="70" workbookViewId="0">
      <selection activeCell="H76" sqref="H76"/>
    </sheetView>
  </sheetViews>
  <sheetFormatPr defaultRowHeight="15" x14ac:dyDescent="0.25"/>
  <cols>
    <col min="1" max="1" width="4.42578125" customWidth="1"/>
    <col min="2" max="2" width="20.5703125" customWidth="1"/>
    <col min="5" max="5" width="16.28515625" customWidth="1"/>
    <col min="6" max="6" width="12.5703125" customWidth="1"/>
    <col min="7" max="7" width="15.140625" customWidth="1"/>
    <col min="8" max="8" width="7.140625" customWidth="1"/>
    <col min="10" max="10" width="10.5703125" customWidth="1"/>
    <col min="14" max="14" width="6.85546875" customWidth="1"/>
    <col min="15" max="15" width="17.28515625" customWidth="1"/>
    <col min="16" max="16" width="30.28515625" customWidth="1"/>
    <col min="17" max="17" width="13.42578125" customWidth="1"/>
    <col min="18" max="18" width="14.28515625" customWidth="1"/>
    <col min="19" max="19" width="14.5703125" customWidth="1"/>
    <col min="20" max="20" width="11" customWidth="1"/>
    <col min="21" max="21" width="19.42578125" customWidth="1"/>
  </cols>
  <sheetData>
    <row r="2" spans="1:24" ht="33" customHeight="1" x14ac:dyDescent="0.3">
      <c r="A2" s="114" t="s">
        <v>340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</row>
    <row r="4" spans="1:24" ht="15.75" x14ac:dyDescent="0.25">
      <c r="A4" s="113" t="s">
        <v>1</v>
      </c>
      <c r="B4" s="113" t="s">
        <v>2</v>
      </c>
      <c r="C4" s="113" t="s">
        <v>3</v>
      </c>
      <c r="D4" s="113" t="s">
        <v>4</v>
      </c>
      <c r="E4" s="113" t="s">
        <v>5</v>
      </c>
      <c r="F4" s="113"/>
      <c r="G4" s="113"/>
      <c r="H4" s="113"/>
      <c r="I4" s="113"/>
      <c r="J4" s="113"/>
      <c r="K4" s="113" t="s">
        <v>6</v>
      </c>
      <c r="L4" s="113"/>
      <c r="M4" s="113"/>
      <c r="N4" s="113"/>
      <c r="O4" s="113"/>
      <c r="P4" s="44" t="s">
        <v>7</v>
      </c>
      <c r="Q4" s="113" t="s">
        <v>8</v>
      </c>
      <c r="R4" s="113"/>
      <c r="S4" s="113"/>
      <c r="T4" s="113"/>
      <c r="U4" s="44" t="s">
        <v>9</v>
      </c>
      <c r="V4" s="113" t="s">
        <v>10</v>
      </c>
    </row>
    <row r="5" spans="1:24" ht="31.5" x14ac:dyDescent="0.25">
      <c r="A5" s="113"/>
      <c r="B5" s="113"/>
      <c r="C5" s="113"/>
      <c r="D5" s="113"/>
      <c r="E5" s="28" t="s">
        <v>13</v>
      </c>
      <c r="F5" s="28" t="s">
        <v>14</v>
      </c>
      <c r="G5" s="28" t="s">
        <v>15</v>
      </c>
      <c r="H5" s="2" t="s">
        <v>16</v>
      </c>
      <c r="I5" s="24" t="s">
        <v>17</v>
      </c>
      <c r="J5" s="2" t="s">
        <v>18</v>
      </c>
      <c r="K5" s="28" t="s">
        <v>19</v>
      </c>
      <c r="L5" s="28" t="s">
        <v>20</v>
      </c>
      <c r="M5" s="28" t="s">
        <v>21</v>
      </c>
      <c r="N5" s="28" t="s">
        <v>16</v>
      </c>
      <c r="O5" s="28" t="s">
        <v>22</v>
      </c>
      <c r="P5" s="28" t="s">
        <v>23</v>
      </c>
      <c r="Q5" s="28" t="s">
        <v>24</v>
      </c>
      <c r="R5" s="28" t="s">
        <v>25</v>
      </c>
      <c r="S5" s="28" t="s">
        <v>26</v>
      </c>
      <c r="T5" s="28" t="s">
        <v>27</v>
      </c>
      <c r="U5" s="28" t="s">
        <v>28</v>
      </c>
      <c r="V5" s="113"/>
    </row>
    <row r="6" spans="1:24" s="1" customFormat="1" ht="78.75" x14ac:dyDescent="0.25">
      <c r="A6" s="28">
        <v>1</v>
      </c>
      <c r="B6" s="22" t="s">
        <v>168</v>
      </c>
      <c r="C6" s="28" t="s">
        <v>169</v>
      </c>
      <c r="D6" s="28" t="s">
        <v>170</v>
      </c>
      <c r="E6" s="12" t="s">
        <v>205</v>
      </c>
      <c r="F6" s="28" t="s">
        <v>230</v>
      </c>
      <c r="G6" s="28" t="s">
        <v>193</v>
      </c>
      <c r="H6" s="2"/>
      <c r="I6" s="28"/>
      <c r="J6" s="28" t="s">
        <v>107</v>
      </c>
      <c r="K6" s="7" t="s">
        <v>280</v>
      </c>
      <c r="L6" s="7" t="s">
        <v>280</v>
      </c>
      <c r="M6" s="7" t="s">
        <v>280</v>
      </c>
      <c r="N6" s="7"/>
      <c r="O6" s="28" t="s">
        <v>127</v>
      </c>
      <c r="P6" s="8" t="s">
        <v>212</v>
      </c>
      <c r="Q6" s="12" t="s">
        <v>180</v>
      </c>
      <c r="R6" s="28" t="s">
        <v>233</v>
      </c>
      <c r="S6" s="7" t="s">
        <v>186</v>
      </c>
      <c r="T6" s="28" t="s">
        <v>120</v>
      </c>
      <c r="U6" s="7" t="s">
        <v>183</v>
      </c>
      <c r="V6" s="28"/>
      <c r="W6" s="23"/>
      <c r="X6" s="23"/>
    </row>
    <row r="7" spans="1:24" s="1" customFormat="1" ht="63" x14ac:dyDescent="0.25">
      <c r="A7" s="28">
        <v>2</v>
      </c>
      <c r="B7" s="22" t="s">
        <v>171</v>
      </c>
      <c r="C7" s="28" t="s">
        <v>155</v>
      </c>
      <c r="D7" s="28" t="s">
        <v>172</v>
      </c>
      <c r="E7" s="12" t="s">
        <v>207</v>
      </c>
      <c r="F7" s="28" t="s">
        <v>231</v>
      </c>
      <c r="G7" s="28" t="s">
        <v>231</v>
      </c>
      <c r="H7" s="2"/>
      <c r="I7" s="28"/>
      <c r="J7" s="28" t="s">
        <v>107</v>
      </c>
      <c r="K7" s="7" t="s">
        <v>301</v>
      </c>
      <c r="L7" s="7" t="s">
        <v>302</v>
      </c>
      <c r="M7" s="7" t="s">
        <v>303</v>
      </c>
      <c r="N7" s="2"/>
      <c r="O7" s="28" t="s">
        <v>304</v>
      </c>
      <c r="P7" s="8" t="s">
        <v>213</v>
      </c>
      <c r="Q7" s="12" t="s">
        <v>184</v>
      </c>
      <c r="R7" s="7" t="s">
        <v>192</v>
      </c>
      <c r="S7" s="7" t="s">
        <v>191</v>
      </c>
      <c r="T7" s="28" t="s">
        <v>120</v>
      </c>
      <c r="U7" s="7" t="s">
        <v>182</v>
      </c>
      <c r="V7" s="28"/>
      <c r="W7" s="23"/>
      <c r="X7" s="23"/>
    </row>
    <row r="8" spans="1:24" s="1" customFormat="1" ht="47.25" x14ac:dyDescent="0.25">
      <c r="A8" s="28">
        <v>3</v>
      </c>
      <c r="B8" s="22" t="s">
        <v>218</v>
      </c>
      <c r="C8" s="28" t="s">
        <v>219</v>
      </c>
      <c r="D8" s="28" t="s">
        <v>223</v>
      </c>
      <c r="E8" s="12" t="s">
        <v>229</v>
      </c>
      <c r="F8" s="7" t="s">
        <v>186</v>
      </c>
      <c r="G8" s="7" t="s">
        <v>186</v>
      </c>
      <c r="H8" s="2"/>
      <c r="I8" s="28"/>
      <c r="J8" s="28" t="s">
        <v>107</v>
      </c>
      <c r="K8" s="7" t="s">
        <v>186</v>
      </c>
      <c r="L8" s="7" t="s">
        <v>186</v>
      </c>
      <c r="M8" s="7" t="s">
        <v>186</v>
      </c>
      <c r="N8" s="2"/>
      <c r="O8" s="28"/>
      <c r="P8" s="8" t="s">
        <v>220</v>
      </c>
      <c r="Q8" s="7" t="s">
        <v>281</v>
      </c>
      <c r="R8" s="7" t="s">
        <v>288</v>
      </c>
      <c r="S8" s="7" t="s">
        <v>186</v>
      </c>
      <c r="T8" s="28" t="s">
        <v>120</v>
      </c>
      <c r="U8" s="7" t="s">
        <v>234</v>
      </c>
      <c r="V8" s="28"/>
      <c r="W8" s="23"/>
      <c r="X8" s="23"/>
    </row>
    <row r="9" spans="1:24" s="1" customFormat="1" ht="63" x14ac:dyDescent="0.25">
      <c r="A9" s="28">
        <v>4</v>
      </c>
      <c r="B9" s="22" t="s">
        <v>290</v>
      </c>
      <c r="C9" s="28" t="s">
        <v>219</v>
      </c>
      <c r="D9" s="8" t="s">
        <v>292</v>
      </c>
      <c r="E9" s="12" t="s">
        <v>309</v>
      </c>
      <c r="F9" s="7" t="s">
        <v>186</v>
      </c>
      <c r="G9" s="7" t="s">
        <v>186</v>
      </c>
      <c r="H9" s="2"/>
      <c r="I9" s="28"/>
      <c r="J9" s="28" t="s">
        <v>107</v>
      </c>
      <c r="K9" s="7" t="s">
        <v>186</v>
      </c>
      <c r="L9" s="7" t="s">
        <v>186</v>
      </c>
      <c r="M9" s="7" t="s">
        <v>186</v>
      </c>
      <c r="N9" s="2"/>
      <c r="O9" s="28"/>
      <c r="P9" s="8" t="s">
        <v>291</v>
      </c>
      <c r="Q9" s="7" t="s">
        <v>314</v>
      </c>
      <c r="R9" s="7" t="s">
        <v>186</v>
      </c>
      <c r="S9" s="7" t="s">
        <v>186</v>
      </c>
      <c r="T9" s="28" t="s">
        <v>120</v>
      </c>
      <c r="U9" s="7" t="s">
        <v>315</v>
      </c>
      <c r="V9" s="28"/>
    </row>
  </sheetData>
  <mergeCells count="9">
    <mergeCell ref="Q4:T4"/>
    <mergeCell ref="V4:V5"/>
    <mergeCell ref="A2:V2"/>
    <mergeCell ref="A4:A5"/>
    <mergeCell ref="B4:B5"/>
    <mergeCell ref="C4:C5"/>
    <mergeCell ref="D4:D5"/>
    <mergeCell ref="E4:J4"/>
    <mergeCell ref="K4:O4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topLeftCell="A13" workbookViewId="0">
      <selection activeCell="H76" sqref="H76"/>
    </sheetView>
  </sheetViews>
  <sheetFormatPr defaultRowHeight="15" x14ac:dyDescent="0.25"/>
  <cols>
    <col min="1" max="1" width="3.42578125" customWidth="1"/>
    <col min="2" max="2" width="17.7109375" customWidth="1"/>
    <col min="3" max="3" width="12.28515625" customWidth="1"/>
    <col min="4" max="4" width="14" customWidth="1"/>
    <col min="5" max="5" width="10.140625" customWidth="1"/>
    <col min="6" max="6" width="14.140625" customWidth="1"/>
    <col min="7" max="7" width="13.28515625" customWidth="1"/>
    <col min="8" max="8" width="13.5703125" customWidth="1"/>
    <col min="9" max="9" width="16.140625" customWidth="1"/>
    <col min="10" max="10" width="14.42578125" customWidth="1"/>
    <col min="11" max="11" width="11.7109375" customWidth="1"/>
  </cols>
  <sheetData>
    <row r="1" spans="1:12" ht="37.5" customHeight="1" x14ac:dyDescent="0.3">
      <c r="A1" s="118" t="s">
        <v>305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spans="1:12" ht="15.75" x14ac:dyDescent="0.25">
      <c r="A2" s="120" t="s">
        <v>38</v>
      </c>
      <c r="B2" s="115" t="s">
        <v>5</v>
      </c>
      <c r="C2" s="116"/>
      <c r="D2" s="116"/>
      <c r="E2" s="116"/>
      <c r="F2" s="116"/>
      <c r="G2" s="116"/>
      <c r="H2" s="116"/>
      <c r="I2" s="117"/>
      <c r="J2" s="115" t="s">
        <v>44</v>
      </c>
      <c r="K2" s="117"/>
      <c r="L2" s="26"/>
    </row>
    <row r="3" spans="1:12" ht="63" x14ac:dyDescent="0.25">
      <c r="A3" s="121"/>
      <c r="B3" s="26" t="s">
        <v>45</v>
      </c>
      <c r="C3" s="26" t="s">
        <v>46</v>
      </c>
      <c r="D3" s="26" t="s">
        <v>47</v>
      </c>
      <c r="E3" s="26" t="s">
        <v>48</v>
      </c>
      <c r="F3" s="26" t="s">
        <v>24</v>
      </c>
      <c r="G3" s="10" t="s">
        <v>49</v>
      </c>
      <c r="H3" s="26" t="s">
        <v>50</v>
      </c>
      <c r="I3" s="42" t="s">
        <v>51</v>
      </c>
      <c r="J3" s="11" t="s">
        <v>52</v>
      </c>
      <c r="K3" s="26" t="s">
        <v>22</v>
      </c>
      <c r="L3" s="26" t="s">
        <v>12</v>
      </c>
    </row>
    <row r="4" spans="1:12" ht="45.75" customHeight="1" x14ac:dyDescent="0.25">
      <c r="A4" s="15">
        <v>1</v>
      </c>
      <c r="B4" s="3" t="s">
        <v>173</v>
      </c>
      <c r="C4" s="3" t="s">
        <v>35</v>
      </c>
      <c r="D4" s="16" t="s">
        <v>172</v>
      </c>
      <c r="E4" s="9" t="s">
        <v>63</v>
      </c>
      <c r="F4" s="3" t="s">
        <v>181</v>
      </c>
      <c r="G4" s="3" t="s">
        <v>115</v>
      </c>
      <c r="H4" s="17" t="s">
        <v>174</v>
      </c>
      <c r="I4" s="6" t="s">
        <v>56</v>
      </c>
      <c r="J4" s="3" t="s">
        <v>57</v>
      </c>
      <c r="K4" s="3" t="s">
        <v>109</v>
      </c>
      <c r="L4" s="14"/>
    </row>
    <row r="5" spans="1:12" ht="45.75" customHeight="1" x14ac:dyDescent="0.25">
      <c r="A5" s="15">
        <v>2</v>
      </c>
      <c r="B5" s="3" t="s">
        <v>175</v>
      </c>
      <c r="C5" s="3" t="s">
        <v>30</v>
      </c>
      <c r="D5" s="16" t="s">
        <v>190</v>
      </c>
      <c r="E5" s="9" t="s">
        <v>55</v>
      </c>
      <c r="F5" s="3" t="s">
        <v>217</v>
      </c>
      <c r="G5" s="3" t="s">
        <v>115</v>
      </c>
      <c r="H5" s="17" t="s">
        <v>163</v>
      </c>
      <c r="I5" s="6" t="s">
        <v>56</v>
      </c>
      <c r="J5" s="3" t="s">
        <v>57</v>
      </c>
      <c r="K5" s="3" t="s">
        <v>109</v>
      </c>
      <c r="L5" s="14"/>
    </row>
    <row r="6" spans="1:12" ht="45.75" customHeight="1" x14ac:dyDescent="0.25">
      <c r="A6" s="15">
        <v>3</v>
      </c>
      <c r="B6" s="3" t="s">
        <v>176</v>
      </c>
      <c r="C6" s="3" t="s">
        <v>30</v>
      </c>
      <c r="D6" s="16" t="s">
        <v>190</v>
      </c>
      <c r="E6" s="9" t="s">
        <v>55</v>
      </c>
      <c r="F6" s="3" t="s">
        <v>185</v>
      </c>
      <c r="G6" s="3" t="s">
        <v>115</v>
      </c>
      <c r="H6" s="17" t="s">
        <v>163</v>
      </c>
      <c r="I6" s="6" t="s">
        <v>56</v>
      </c>
      <c r="J6" s="3" t="s">
        <v>57</v>
      </c>
      <c r="K6" s="3" t="s">
        <v>109</v>
      </c>
      <c r="L6" s="14"/>
    </row>
    <row r="7" spans="1:12" ht="45.75" customHeight="1" x14ac:dyDescent="0.25">
      <c r="A7" s="15">
        <v>4</v>
      </c>
      <c r="B7" s="3" t="s">
        <v>177</v>
      </c>
      <c r="C7" s="3" t="s">
        <v>80</v>
      </c>
      <c r="D7" s="16" t="s">
        <v>178</v>
      </c>
      <c r="E7" s="9" t="s">
        <v>55</v>
      </c>
      <c r="F7" s="3" t="s">
        <v>226</v>
      </c>
      <c r="G7" s="3" t="s">
        <v>115</v>
      </c>
      <c r="H7" s="17" t="s">
        <v>174</v>
      </c>
      <c r="I7" s="6" t="s">
        <v>56</v>
      </c>
      <c r="J7" s="3" t="s">
        <v>57</v>
      </c>
      <c r="K7" s="3" t="s">
        <v>109</v>
      </c>
      <c r="L7" s="14"/>
    </row>
    <row r="8" spans="1:12" ht="45.75" customHeight="1" x14ac:dyDescent="0.25">
      <c r="A8" s="15">
        <v>5</v>
      </c>
      <c r="B8" s="3" t="s">
        <v>215</v>
      </c>
      <c r="C8" s="3" t="s">
        <v>216</v>
      </c>
      <c r="D8" s="27" t="s">
        <v>222</v>
      </c>
      <c r="E8" s="9" t="s">
        <v>63</v>
      </c>
      <c r="F8" s="3" t="s">
        <v>227</v>
      </c>
      <c r="G8" s="3" t="s">
        <v>115</v>
      </c>
      <c r="H8" s="17" t="s">
        <v>174</v>
      </c>
      <c r="I8" s="6" t="s">
        <v>56</v>
      </c>
      <c r="J8" s="3" t="s">
        <v>57</v>
      </c>
      <c r="K8" s="3" t="s">
        <v>109</v>
      </c>
      <c r="L8" s="14"/>
    </row>
    <row r="9" spans="1:12" ht="45.75" customHeight="1" x14ac:dyDescent="0.25">
      <c r="A9" s="15">
        <v>6</v>
      </c>
      <c r="B9" s="3" t="s">
        <v>187</v>
      </c>
      <c r="C9" s="3" t="s">
        <v>188</v>
      </c>
      <c r="D9" s="16" t="s">
        <v>189</v>
      </c>
      <c r="E9" s="9" t="s">
        <v>55</v>
      </c>
      <c r="F9" s="3" t="s">
        <v>228</v>
      </c>
      <c r="G9" s="3" t="s">
        <v>115</v>
      </c>
      <c r="H9" s="17" t="s">
        <v>163</v>
      </c>
      <c r="I9" s="6" t="s">
        <v>56</v>
      </c>
      <c r="J9" s="3" t="s">
        <v>57</v>
      </c>
      <c r="K9" s="3" t="s">
        <v>109</v>
      </c>
      <c r="L9" s="14"/>
    </row>
    <row r="10" spans="1:12" ht="45.75" customHeight="1" x14ac:dyDescent="0.25">
      <c r="A10" s="15">
        <v>7</v>
      </c>
      <c r="B10" s="3" t="s">
        <v>221</v>
      </c>
      <c r="C10" s="3" t="s">
        <v>30</v>
      </c>
      <c r="D10" s="28" t="s">
        <v>223</v>
      </c>
      <c r="E10" s="9" t="s">
        <v>55</v>
      </c>
      <c r="F10" s="3" t="s">
        <v>235</v>
      </c>
      <c r="G10" s="3" t="s">
        <v>115</v>
      </c>
      <c r="H10" s="3" t="s">
        <v>293</v>
      </c>
      <c r="I10" s="6" t="s">
        <v>56</v>
      </c>
      <c r="J10" s="3" t="s">
        <v>57</v>
      </c>
      <c r="K10" s="3" t="s">
        <v>109</v>
      </c>
      <c r="L10" s="14"/>
    </row>
    <row r="11" spans="1:12" s="1" customFormat="1" ht="45.75" customHeight="1" x14ac:dyDescent="0.25">
      <c r="A11" s="15">
        <v>8</v>
      </c>
      <c r="B11" s="8" t="s">
        <v>224</v>
      </c>
      <c r="C11" s="8" t="s">
        <v>155</v>
      </c>
      <c r="D11" s="28" t="s">
        <v>225</v>
      </c>
      <c r="E11" s="9" t="s">
        <v>55</v>
      </c>
      <c r="F11" s="3" t="s">
        <v>232</v>
      </c>
      <c r="G11" s="3" t="s">
        <v>115</v>
      </c>
      <c r="H11" s="7" t="s">
        <v>186</v>
      </c>
      <c r="I11" s="6" t="s">
        <v>56</v>
      </c>
      <c r="J11" s="3" t="s">
        <v>57</v>
      </c>
      <c r="K11" s="3" t="s">
        <v>109</v>
      </c>
      <c r="L11" s="7"/>
    </row>
    <row r="12" spans="1:12" ht="45.75" customHeight="1" x14ac:dyDescent="0.25">
      <c r="A12" s="15">
        <v>9</v>
      </c>
      <c r="B12" s="3" t="s">
        <v>282</v>
      </c>
      <c r="C12" s="8" t="s">
        <v>286</v>
      </c>
      <c r="D12" s="43" t="s">
        <v>307</v>
      </c>
      <c r="E12" s="9" t="s">
        <v>283</v>
      </c>
      <c r="F12" s="3" t="s">
        <v>284</v>
      </c>
      <c r="G12" s="3" t="s">
        <v>115</v>
      </c>
      <c r="H12" s="7" t="s">
        <v>186</v>
      </c>
      <c r="I12" s="6" t="s">
        <v>56</v>
      </c>
      <c r="J12" s="3" t="s">
        <v>289</v>
      </c>
      <c r="K12" s="3" t="s">
        <v>289</v>
      </c>
      <c r="L12" s="14"/>
    </row>
    <row r="13" spans="1:12" s="1" customFormat="1" ht="45.75" customHeight="1" x14ac:dyDescent="0.25">
      <c r="A13" s="15">
        <v>10</v>
      </c>
      <c r="B13" s="8" t="s">
        <v>285</v>
      </c>
      <c r="C13" s="8" t="s">
        <v>287</v>
      </c>
      <c r="D13" s="43" t="s">
        <v>306</v>
      </c>
      <c r="E13" s="9" t="s">
        <v>55</v>
      </c>
      <c r="F13" s="3" t="s">
        <v>294</v>
      </c>
      <c r="G13" s="3" t="s">
        <v>115</v>
      </c>
      <c r="H13" s="7" t="s">
        <v>186</v>
      </c>
      <c r="I13" s="6" t="s">
        <v>56</v>
      </c>
      <c r="J13" s="3" t="s">
        <v>289</v>
      </c>
      <c r="K13" s="3" t="s">
        <v>289</v>
      </c>
      <c r="L13" s="7"/>
    </row>
    <row r="14" spans="1:12" s="1" customFormat="1" ht="45.75" customHeight="1" x14ac:dyDescent="0.25">
      <c r="A14" s="15">
        <v>11</v>
      </c>
      <c r="B14" s="8" t="s">
        <v>295</v>
      </c>
      <c r="C14" s="8" t="s">
        <v>169</v>
      </c>
      <c r="D14" s="28" t="s">
        <v>308</v>
      </c>
      <c r="E14" s="9" t="s">
        <v>55</v>
      </c>
      <c r="F14" s="3" t="s">
        <v>294</v>
      </c>
      <c r="G14" s="3" t="s">
        <v>115</v>
      </c>
      <c r="H14" s="7" t="s">
        <v>186</v>
      </c>
      <c r="I14" s="6" t="s">
        <v>56</v>
      </c>
      <c r="J14" s="3" t="s">
        <v>289</v>
      </c>
      <c r="K14" s="3" t="s">
        <v>289</v>
      </c>
      <c r="L14" s="7"/>
    </row>
  </sheetData>
  <mergeCells count="4">
    <mergeCell ref="B2:I2"/>
    <mergeCell ref="J2:K2"/>
    <mergeCell ref="A1:L1"/>
    <mergeCell ref="A2:A3"/>
  </mergeCells>
  <printOptions horizontalCentered="1"/>
  <pageMargins left="0.21" right="0.18" top="0.15" bottom="0.12" header="0.13" footer="0.12"/>
  <pageSetup paperSize="9" scale="94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workbookViewId="0">
      <selection activeCell="H76" sqref="H76"/>
    </sheetView>
  </sheetViews>
  <sheetFormatPr defaultRowHeight="15" x14ac:dyDescent="0.25"/>
  <cols>
    <col min="1" max="1" width="4.85546875" style="75" customWidth="1"/>
    <col min="2" max="2" width="20.85546875" style="76" customWidth="1"/>
    <col min="3" max="3" width="20.42578125" style="76" customWidth="1"/>
    <col min="4" max="4" width="19.7109375" style="76" customWidth="1"/>
    <col min="5" max="5" width="9.140625" style="76"/>
    <col min="6" max="6" width="29.5703125" style="76" customWidth="1"/>
    <col min="7" max="7" width="32.85546875" style="76" customWidth="1"/>
  </cols>
  <sheetData>
    <row r="1" spans="1:7" ht="33.75" customHeight="1" x14ac:dyDescent="0.25">
      <c r="A1" s="122" t="s">
        <v>353</v>
      </c>
      <c r="B1" s="122"/>
      <c r="C1" s="122"/>
      <c r="D1" s="122"/>
      <c r="E1" s="122"/>
      <c r="F1" s="122"/>
      <c r="G1" s="122"/>
    </row>
    <row r="2" spans="1:7" s="65" customFormat="1" ht="45" x14ac:dyDescent="0.25">
      <c r="A2" s="66" t="s">
        <v>348</v>
      </c>
      <c r="B2" s="66" t="s">
        <v>2</v>
      </c>
      <c r="C2" s="66" t="s">
        <v>3</v>
      </c>
      <c r="D2" s="66" t="s">
        <v>349</v>
      </c>
      <c r="E2" s="66" t="s">
        <v>350</v>
      </c>
      <c r="F2" s="66" t="s">
        <v>351</v>
      </c>
      <c r="G2" s="66" t="s">
        <v>352</v>
      </c>
    </row>
    <row r="3" spans="1:7" ht="30" x14ac:dyDescent="0.25">
      <c r="A3" s="67">
        <v>1</v>
      </c>
      <c r="B3" s="68" t="s">
        <v>132</v>
      </c>
      <c r="C3" s="68" t="s">
        <v>111</v>
      </c>
      <c r="D3" s="69" t="s">
        <v>133</v>
      </c>
      <c r="E3" s="70" t="s">
        <v>55</v>
      </c>
      <c r="F3" s="71" t="s">
        <v>143</v>
      </c>
      <c r="G3" s="72"/>
    </row>
    <row r="4" spans="1:7" ht="30" x14ac:dyDescent="0.25">
      <c r="A4" s="67">
        <v>2</v>
      </c>
      <c r="B4" s="68" t="s">
        <v>134</v>
      </c>
      <c r="C4" s="68" t="s">
        <v>111</v>
      </c>
      <c r="D4" s="69" t="s">
        <v>133</v>
      </c>
      <c r="E4" s="70" t="s">
        <v>55</v>
      </c>
      <c r="F4" s="71" t="s">
        <v>143</v>
      </c>
      <c r="G4" s="72"/>
    </row>
    <row r="5" spans="1:7" ht="30" x14ac:dyDescent="0.25">
      <c r="A5" s="67">
        <v>3</v>
      </c>
      <c r="B5" s="68" t="s">
        <v>97</v>
      </c>
      <c r="C5" s="68" t="s">
        <v>35</v>
      </c>
      <c r="D5" s="69" t="s">
        <v>103</v>
      </c>
      <c r="E5" s="70" t="s">
        <v>55</v>
      </c>
      <c r="F5" s="71" t="s">
        <v>142</v>
      </c>
      <c r="G5" s="72"/>
    </row>
    <row r="6" spans="1:7" ht="30" x14ac:dyDescent="0.25">
      <c r="A6" s="67">
        <v>4</v>
      </c>
      <c r="B6" s="68" t="s">
        <v>129</v>
      </c>
      <c r="C6" s="68" t="s">
        <v>34</v>
      </c>
      <c r="D6" s="69" t="s">
        <v>130</v>
      </c>
      <c r="E6" s="70" t="s">
        <v>55</v>
      </c>
      <c r="F6" s="71" t="s">
        <v>143</v>
      </c>
      <c r="G6" s="72"/>
    </row>
    <row r="7" spans="1:7" ht="30" x14ac:dyDescent="0.25">
      <c r="A7" s="67">
        <v>5</v>
      </c>
      <c r="B7" s="68" t="s">
        <v>136</v>
      </c>
      <c r="C7" s="68" t="s">
        <v>30</v>
      </c>
      <c r="D7" s="69" t="s">
        <v>135</v>
      </c>
      <c r="E7" s="70" t="s">
        <v>55</v>
      </c>
      <c r="F7" s="71" t="s">
        <v>143</v>
      </c>
      <c r="G7" s="72"/>
    </row>
    <row r="8" spans="1:7" ht="30" x14ac:dyDescent="0.25">
      <c r="A8" s="67">
        <v>6</v>
      </c>
      <c r="B8" s="68" t="s">
        <v>137</v>
      </c>
      <c r="C8" s="68" t="s">
        <v>30</v>
      </c>
      <c r="D8" s="69" t="s">
        <v>135</v>
      </c>
      <c r="E8" s="70" t="s">
        <v>55</v>
      </c>
      <c r="F8" s="71" t="s">
        <v>140</v>
      </c>
      <c r="G8" s="72"/>
    </row>
    <row r="9" spans="1:7" ht="30" x14ac:dyDescent="0.25">
      <c r="A9" s="67">
        <v>7</v>
      </c>
      <c r="B9" s="68" t="s">
        <v>144</v>
      </c>
      <c r="C9" s="68" t="s">
        <v>34</v>
      </c>
      <c r="D9" s="69" t="s">
        <v>145</v>
      </c>
      <c r="E9" s="70" t="s">
        <v>150</v>
      </c>
      <c r="F9" s="71" t="s">
        <v>151</v>
      </c>
      <c r="G9" s="72"/>
    </row>
    <row r="10" spans="1:7" ht="30" x14ac:dyDescent="0.25">
      <c r="A10" s="67">
        <v>8</v>
      </c>
      <c r="B10" s="68" t="s">
        <v>149</v>
      </c>
      <c r="C10" s="68" t="s">
        <v>34</v>
      </c>
      <c r="D10" s="69" t="s">
        <v>148</v>
      </c>
      <c r="E10" s="70" t="s">
        <v>55</v>
      </c>
      <c r="F10" s="71" t="s">
        <v>156</v>
      </c>
      <c r="G10" s="72"/>
    </row>
    <row r="11" spans="1:7" ht="45" x14ac:dyDescent="0.25">
      <c r="A11" s="67">
        <v>9</v>
      </c>
      <c r="B11" s="68" t="s">
        <v>147</v>
      </c>
      <c r="C11" s="68" t="s">
        <v>34</v>
      </c>
      <c r="D11" s="69" t="s">
        <v>148</v>
      </c>
      <c r="E11" s="70" t="s">
        <v>55</v>
      </c>
      <c r="F11" s="71" t="s">
        <v>179</v>
      </c>
      <c r="G11" s="72"/>
    </row>
    <row r="12" spans="1:7" ht="30" x14ac:dyDescent="0.25">
      <c r="A12" s="67">
        <v>10</v>
      </c>
      <c r="B12" s="68" t="s">
        <v>153</v>
      </c>
      <c r="C12" s="68" t="s">
        <v>33</v>
      </c>
      <c r="D12" s="69" t="s">
        <v>152</v>
      </c>
      <c r="E12" s="70" t="s">
        <v>63</v>
      </c>
      <c r="F12" s="71" t="s">
        <v>156</v>
      </c>
      <c r="G12" s="72"/>
    </row>
    <row r="13" spans="1:7" ht="30" x14ac:dyDescent="0.25">
      <c r="A13" s="67">
        <v>11</v>
      </c>
      <c r="B13" s="68" t="s">
        <v>162</v>
      </c>
      <c r="C13" s="68" t="s">
        <v>35</v>
      </c>
      <c r="D13" s="69" t="s">
        <v>160</v>
      </c>
      <c r="E13" s="70" t="s">
        <v>55</v>
      </c>
      <c r="F13" s="71" t="s">
        <v>165</v>
      </c>
      <c r="G13" s="72"/>
    </row>
    <row r="14" spans="1:7" ht="30" x14ac:dyDescent="0.25">
      <c r="A14" s="67">
        <v>12</v>
      </c>
      <c r="B14" s="68" t="s">
        <v>173</v>
      </c>
      <c r="C14" s="68" t="s">
        <v>35</v>
      </c>
      <c r="D14" s="69" t="s">
        <v>172</v>
      </c>
      <c r="E14" s="70" t="s">
        <v>63</v>
      </c>
      <c r="F14" s="71" t="s">
        <v>181</v>
      </c>
      <c r="G14" s="72"/>
    </row>
    <row r="15" spans="1:7" ht="30" x14ac:dyDescent="0.25">
      <c r="A15" s="67">
        <v>13</v>
      </c>
      <c r="B15" s="68" t="s">
        <v>175</v>
      </c>
      <c r="C15" s="68" t="s">
        <v>30</v>
      </c>
      <c r="D15" s="69" t="s">
        <v>190</v>
      </c>
      <c r="E15" s="70" t="s">
        <v>55</v>
      </c>
      <c r="F15" s="71" t="s">
        <v>217</v>
      </c>
      <c r="G15" s="72"/>
    </row>
    <row r="16" spans="1:7" ht="30" x14ac:dyDescent="0.25">
      <c r="A16" s="67">
        <v>14</v>
      </c>
      <c r="B16" s="68" t="s">
        <v>176</v>
      </c>
      <c r="C16" s="68" t="s">
        <v>30</v>
      </c>
      <c r="D16" s="69" t="s">
        <v>190</v>
      </c>
      <c r="E16" s="70" t="s">
        <v>55</v>
      </c>
      <c r="F16" s="71" t="s">
        <v>185</v>
      </c>
      <c r="G16" s="72"/>
    </row>
    <row r="17" spans="1:7" ht="30" x14ac:dyDescent="0.25">
      <c r="A17" s="67">
        <v>15</v>
      </c>
      <c r="B17" s="68" t="s">
        <v>177</v>
      </c>
      <c r="C17" s="68" t="s">
        <v>80</v>
      </c>
      <c r="D17" s="69" t="s">
        <v>178</v>
      </c>
      <c r="E17" s="70" t="s">
        <v>55</v>
      </c>
      <c r="F17" s="71" t="s">
        <v>226</v>
      </c>
      <c r="G17" s="72"/>
    </row>
    <row r="18" spans="1:7" ht="30" x14ac:dyDescent="0.25">
      <c r="A18" s="67">
        <v>16</v>
      </c>
      <c r="B18" s="68" t="s">
        <v>215</v>
      </c>
      <c r="C18" s="68" t="s">
        <v>216</v>
      </c>
      <c r="D18" s="73" t="s">
        <v>222</v>
      </c>
      <c r="E18" s="70" t="s">
        <v>63</v>
      </c>
      <c r="F18" s="71" t="s">
        <v>227</v>
      </c>
      <c r="G18" s="72"/>
    </row>
    <row r="19" spans="1:7" ht="30" x14ac:dyDescent="0.25">
      <c r="A19" s="67">
        <v>17</v>
      </c>
      <c r="B19" s="68" t="s">
        <v>187</v>
      </c>
      <c r="C19" s="68" t="s">
        <v>188</v>
      </c>
      <c r="D19" s="69" t="s">
        <v>189</v>
      </c>
      <c r="E19" s="70" t="s">
        <v>55</v>
      </c>
      <c r="F19" s="71" t="s">
        <v>228</v>
      </c>
      <c r="G19" s="72"/>
    </row>
    <row r="20" spans="1:7" ht="30" x14ac:dyDescent="0.25">
      <c r="A20" s="67">
        <v>18</v>
      </c>
      <c r="B20" s="68" t="s">
        <v>221</v>
      </c>
      <c r="C20" s="68" t="s">
        <v>30</v>
      </c>
      <c r="D20" s="74">
        <v>43578</v>
      </c>
      <c r="E20" s="70" t="s">
        <v>55</v>
      </c>
      <c r="F20" s="71" t="s">
        <v>235</v>
      </c>
      <c r="G20" s="72"/>
    </row>
    <row r="21" spans="1:7" ht="30" x14ac:dyDescent="0.25">
      <c r="A21" s="67">
        <v>19</v>
      </c>
      <c r="B21" s="22" t="s">
        <v>224</v>
      </c>
      <c r="C21" s="22" t="s">
        <v>155</v>
      </c>
      <c r="D21" s="22" t="s">
        <v>225</v>
      </c>
      <c r="E21" s="70" t="s">
        <v>55</v>
      </c>
      <c r="F21" s="71" t="s">
        <v>232</v>
      </c>
      <c r="G21" s="72"/>
    </row>
    <row r="22" spans="1:7" ht="30" x14ac:dyDescent="0.25">
      <c r="A22" s="67">
        <v>20</v>
      </c>
      <c r="B22" s="68" t="s">
        <v>282</v>
      </c>
      <c r="C22" s="22" t="s">
        <v>286</v>
      </c>
      <c r="D22" s="74">
        <v>43631</v>
      </c>
      <c r="E22" s="70" t="s">
        <v>55</v>
      </c>
      <c r="F22" s="71" t="s">
        <v>313</v>
      </c>
      <c r="G22" s="72"/>
    </row>
    <row r="23" spans="1:7" ht="30" x14ac:dyDescent="0.25">
      <c r="A23" s="67">
        <v>21</v>
      </c>
      <c r="B23" s="22" t="s">
        <v>285</v>
      </c>
      <c r="C23" s="22" t="s">
        <v>287</v>
      </c>
      <c r="D23" s="74">
        <v>43632</v>
      </c>
      <c r="E23" s="70" t="s">
        <v>55</v>
      </c>
      <c r="F23" s="71" t="s">
        <v>294</v>
      </c>
      <c r="G23" s="72"/>
    </row>
    <row r="24" spans="1:7" ht="30" x14ac:dyDescent="0.25">
      <c r="A24" s="67">
        <v>22</v>
      </c>
      <c r="B24" s="22" t="s">
        <v>295</v>
      </c>
      <c r="C24" s="22" t="s">
        <v>169</v>
      </c>
      <c r="D24" s="74">
        <v>43634</v>
      </c>
      <c r="E24" s="70" t="s">
        <v>55</v>
      </c>
      <c r="F24" s="71" t="s">
        <v>294</v>
      </c>
      <c r="G24" s="72"/>
    </row>
  </sheetData>
  <mergeCells count="1">
    <mergeCell ref="A1:G1"/>
  </mergeCells>
  <pageMargins left="0.46" right="0.16" top="0.75" bottom="0.75" header="0.3" footer="0.3"/>
  <pageSetup paperSize="9" scale="7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26"/>
  <sheetViews>
    <sheetView view="pageBreakPreview" topLeftCell="A7" zoomScale="60" workbookViewId="0">
      <selection activeCell="H76" sqref="H76"/>
    </sheetView>
  </sheetViews>
  <sheetFormatPr defaultRowHeight="15" x14ac:dyDescent="0.25"/>
  <cols>
    <col min="1" max="1" width="6.140625" customWidth="1"/>
    <col min="2" max="2" width="21.7109375" customWidth="1"/>
    <col min="3" max="3" width="18.42578125" customWidth="1"/>
    <col min="4" max="4" width="16.5703125" customWidth="1"/>
    <col min="5" max="5" width="13.5703125" customWidth="1"/>
    <col min="6" max="6" width="25.42578125" customWidth="1"/>
    <col min="7" max="7" width="17.85546875" customWidth="1"/>
    <col min="8" max="9" width="24" customWidth="1"/>
    <col min="10" max="10" width="20.7109375" customWidth="1"/>
    <col min="11" max="11" width="19" customWidth="1"/>
    <col min="12" max="12" width="12.5703125" customWidth="1"/>
  </cols>
  <sheetData>
    <row r="1" spans="1:12" ht="15.75" x14ac:dyDescent="0.25">
      <c r="A1" s="142" t="s">
        <v>357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spans="1:12" ht="15.75" x14ac:dyDescent="0.25">
      <c r="A2" s="142" t="s">
        <v>358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3" spans="1:12" ht="15.75" x14ac:dyDescent="0.25">
      <c r="A3" s="120" t="s">
        <v>38</v>
      </c>
      <c r="B3" s="115" t="s">
        <v>5</v>
      </c>
      <c r="C3" s="116"/>
      <c r="D3" s="116"/>
      <c r="E3" s="116"/>
      <c r="F3" s="116"/>
      <c r="G3" s="116"/>
      <c r="H3" s="116"/>
      <c r="I3" s="117"/>
      <c r="J3" s="115" t="s">
        <v>44</v>
      </c>
      <c r="K3" s="117"/>
      <c r="L3" s="26"/>
    </row>
    <row r="4" spans="1:12" ht="47.25" x14ac:dyDescent="0.25">
      <c r="A4" s="121"/>
      <c r="B4" s="26" t="s">
        <v>45</v>
      </c>
      <c r="C4" s="26" t="s">
        <v>46</v>
      </c>
      <c r="D4" s="26" t="s">
        <v>47</v>
      </c>
      <c r="E4" s="26" t="s">
        <v>48</v>
      </c>
      <c r="F4" s="26" t="s">
        <v>24</v>
      </c>
      <c r="G4" s="26" t="s">
        <v>49</v>
      </c>
      <c r="H4" s="26" t="s">
        <v>50</v>
      </c>
      <c r="I4" s="42" t="s">
        <v>51</v>
      </c>
      <c r="J4" s="11" t="s">
        <v>52</v>
      </c>
      <c r="K4" s="26" t="s">
        <v>22</v>
      </c>
      <c r="L4" s="26" t="s">
        <v>12</v>
      </c>
    </row>
    <row r="5" spans="1:12" ht="31.5" x14ac:dyDescent="0.25">
      <c r="A5" s="15">
        <v>1</v>
      </c>
      <c r="B5" s="3" t="s">
        <v>175</v>
      </c>
      <c r="C5" s="3" t="s">
        <v>30</v>
      </c>
      <c r="D5" s="29" t="s">
        <v>190</v>
      </c>
      <c r="E5" s="27" t="s">
        <v>55</v>
      </c>
      <c r="F5" s="15" t="s">
        <v>217</v>
      </c>
      <c r="G5" s="15" t="s">
        <v>115</v>
      </c>
      <c r="H5" s="38" t="s">
        <v>163</v>
      </c>
      <c r="I5" s="6" t="s">
        <v>56</v>
      </c>
      <c r="J5" s="3" t="s">
        <v>57</v>
      </c>
      <c r="K5" s="3" t="s">
        <v>109</v>
      </c>
      <c r="L5" s="14"/>
    </row>
    <row r="6" spans="1:12" ht="31.5" x14ac:dyDescent="0.25">
      <c r="A6" s="15">
        <v>2</v>
      </c>
      <c r="B6" s="3" t="s">
        <v>176</v>
      </c>
      <c r="C6" s="3" t="s">
        <v>30</v>
      </c>
      <c r="D6" s="29" t="s">
        <v>190</v>
      </c>
      <c r="E6" s="27" t="s">
        <v>55</v>
      </c>
      <c r="F6" s="15" t="s">
        <v>185</v>
      </c>
      <c r="G6" s="15" t="s">
        <v>115</v>
      </c>
      <c r="H6" s="38" t="s">
        <v>163</v>
      </c>
      <c r="I6" s="6" t="s">
        <v>56</v>
      </c>
      <c r="J6" s="3" t="s">
        <v>57</v>
      </c>
      <c r="K6" s="3" t="s">
        <v>109</v>
      </c>
      <c r="L6" s="14"/>
    </row>
    <row r="7" spans="1:12" ht="31.5" x14ac:dyDescent="0.25">
      <c r="A7" s="15">
        <v>3</v>
      </c>
      <c r="B7" s="3" t="s">
        <v>177</v>
      </c>
      <c r="C7" s="3" t="s">
        <v>80</v>
      </c>
      <c r="D7" s="29" t="s">
        <v>178</v>
      </c>
      <c r="E7" s="27" t="s">
        <v>55</v>
      </c>
      <c r="F7" s="15" t="s">
        <v>226</v>
      </c>
      <c r="G7" s="15" t="s">
        <v>115</v>
      </c>
      <c r="H7" s="38" t="s">
        <v>174</v>
      </c>
      <c r="I7" s="6" t="s">
        <v>56</v>
      </c>
      <c r="J7" s="3" t="s">
        <v>57</v>
      </c>
      <c r="K7" s="3" t="s">
        <v>109</v>
      </c>
      <c r="L7" s="14"/>
    </row>
    <row r="8" spans="1:12" ht="31.5" x14ac:dyDescent="0.25">
      <c r="A8" s="15">
        <v>4</v>
      </c>
      <c r="B8" s="3" t="s">
        <v>215</v>
      </c>
      <c r="C8" s="3" t="s">
        <v>216</v>
      </c>
      <c r="D8" s="9" t="s">
        <v>222</v>
      </c>
      <c r="E8" s="27" t="s">
        <v>63</v>
      </c>
      <c r="F8" s="15" t="s">
        <v>227</v>
      </c>
      <c r="G8" s="15" t="s">
        <v>115</v>
      </c>
      <c r="H8" s="38" t="s">
        <v>174</v>
      </c>
      <c r="I8" s="6" t="s">
        <v>56</v>
      </c>
      <c r="J8" s="3" t="s">
        <v>57</v>
      </c>
      <c r="K8" s="3" t="s">
        <v>109</v>
      </c>
      <c r="L8" s="14"/>
    </row>
    <row r="9" spans="1:12" ht="31.5" x14ac:dyDescent="0.25">
      <c r="A9" s="15">
        <v>5</v>
      </c>
      <c r="B9" s="3" t="s">
        <v>187</v>
      </c>
      <c r="C9" s="3" t="s">
        <v>188</v>
      </c>
      <c r="D9" s="29" t="s">
        <v>189</v>
      </c>
      <c r="E9" s="27" t="s">
        <v>55</v>
      </c>
      <c r="F9" s="15" t="s">
        <v>228</v>
      </c>
      <c r="G9" s="15" t="s">
        <v>115</v>
      </c>
      <c r="H9" s="38" t="s">
        <v>163</v>
      </c>
      <c r="I9" s="6" t="s">
        <v>56</v>
      </c>
      <c r="J9" s="3" t="s">
        <v>57</v>
      </c>
      <c r="K9" s="3" t="s">
        <v>109</v>
      </c>
      <c r="L9" s="14"/>
    </row>
    <row r="10" spans="1:12" ht="31.5" x14ac:dyDescent="0.25">
      <c r="A10" s="15">
        <v>6</v>
      </c>
      <c r="B10" s="3" t="s">
        <v>221</v>
      </c>
      <c r="C10" s="3" t="s">
        <v>30</v>
      </c>
      <c r="D10" s="30">
        <v>43578</v>
      </c>
      <c r="E10" s="27" t="s">
        <v>55</v>
      </c>
      <c r="F10" s="15" t="s">
        <v>235</v>
      </c>
      <c r="G10" s="15" t="s">
        <v>115</v>
      </c>
      <c r="H10" s="6" t="s">
        <v>293</v>
      </c>
      <c r="I10" s="6" t="s">
        <v>56</v>
      </c>
      <c r="J10" s="3" t="s">
        <v>57</v>
      </c>
      <c r="K10" s="3" t="s">
        <v>109</v>
      </c>
      <c r="L10" s="14"/>
    </row>
    <row r="11" spans="1:12" ht="31.5" x14ac:dyDescent="0.25">
      <c r="A11" s="15">
        <v>7</v>
      </c>
      <c r="B11" s="8" t="s">
        <v>224</v>
      </c>
      <c r="C11" s="8" t="s">
        <v>155</v>
      </c>
      <c r="D11" s="8" t="s">
        <v>225</v>
      </c>
      <c r="E11" s="27" t="s">
        <v>55</v>
      </c>
      <c r="F11" s="15" t="s">
        <v>232</v>
      </c>
      <c r="G11" s="15" t="s">
        <v>115</v>
      </c>
      <c r="H11" s="38" t="s">
        <v>163</v>
      </c>
      <c r="I11" s="6" t="s">
        <v>56</v>
      </c>
      <c r="J11" s="3" t="s">
        <v>57</v>
      </c>
      <c r="K11" s="3" t="s">
        <v>109</v>
      </c>
      <c r="L11" s="7"/>
    </row>
    <row r="12" spans="1:12" ht="31.5" x14ac:dyDescent="0.25">
      <c r="A12" s="15">
        <v>8</v>
      </c>
      <c r="B12" s="3" t="s">
        <v>282</v>
      </c>
      <c r="C12" s="8" t="s">
        <v>286</v>
      </c>
      <c r="D12" s="30">
        <v>43631</v>
      </c>
      <c r="E12" s="27" t="s">
        <v>55</v>
      </c>
      <c r="F12" s="15" t="s">
        <v>313</v>
      </c>
      <c r="G12" s="15" t="s">
        <v>115</v>
      </c>
      <c r="H12" s="38" t="s">
        <v>163</v>
      </c>
      <c r="I12" s="6" t="s">
        <v>56</v>
      </c>
      <c r="J12" s="3" t="s">
        <v>57</v>
      </c>
      <c r="K12" s="3" t="s">
        <v>109</v>
      </c>
      <c r="L12" s="14"/>
    </row>
    <row r="13" spans="1:12" ht="31.5" x14ac:dyDescent="0.25">
      <c r="A13" s="15">
        <v>9</v>
      </c>
      <c r="B13" s="8" t="s">
        <v>285</v>
      </c>
      <c r="C13" s="8" t="s">
        <v>287</v>
      </c>
      <c r="D13" s="30">
        <v>43632</v>
      </c>
      <c r="E13" s="27" t="s">
        <v>55</v>
      </c>
      <c r="F13" s="15" t="s">
        <v>294</v>
      </c>
      <c r="G13" s="15" t="s">
        <v>115</v>
      </c>
      <c r="H13" s="6" t="s">
        <v>312</v>
      </c>
      <c r="I13" s="6" t="s">
        <v>56</v>
      </c>
      <c r="J13" s="3" t="s">
        <v>57</v>
      </c>
      <c r="K13" s="3" t="s">
        <v>109</v>
      </c>
      <c r="L13" s="7"/>
    </row>
    <row r="14" spans="1:12" ht="31.5" x14ac:dyDescent="0.25">
      <c r="A14" s="15">
        <v>10</v>
      </c>
      <c r="B14" s="8" t="s">
        <v>295</v>
      </c>
      <c r="C14" s="8" t="s">
        <v>169</v>
      </c>
      <c r="D14" s="30">
        <v>43634</v>
      </c>
      <c r="E14" s="27" t="s">
        <v>55</v>
      </c>
      <c r="F14" s="15" t="s">
        <v>294</v>
      </c>
      <c r="G14" s="15" t="s">
        <v>115</v>
      </c>
      <c r="H14" s="38" t="s">
        <v>163</v>
      </c>
      <c r="I14" s="6" t="s">
        <v>56</v>
      </c>
      <c r="J14" s="3" t="s">
        <v>57</v>
      </c>
      <c r="K14" s="3" t="s">
        <v>109</v>
      </c>
      <c r="L14" s="7"/>
    </row>
    <row r="15" spans="1:12" ht="31.5" x14ac:dyDescent="0.25">
      <c r="A15" s="15">
        <v>11</v>
      </c>
      <c r="B15" s="8" t="s">
        <v>354</v>
      </c>
      <c r="C15" s="8" t="s">
        <v>155</v>
      </c>
      <c r="D15" s="30">
        <v>43690</v>
      </c>
      <c r="E15" s="27" t="s">
        <v>355</v>
      </c>
      <c r="F15" s="15" t="s">
        <v>356</v>
      </c>
      <c r="G15" s="15" t="s">
        <v>186</v>
      </c>
      <c r="H15" s="6" t="s">
        <v>186</v>
      </c>
      <c r="I15" s="6" t="s">
        <v>56</v>
      </c>
      <c r="J15" s="3" t="s">
        <v>57</v>
      </c>
      <c r="K15" s="6" t="s">
        <v>186</v>
      </c>
      <c r="L15" s="7"/>
    </row>
    <row r="17" spans="2:6" ht="15.75" x14ac:dyDescent="0.25">
      <c r="B17" s="18" t="s">
        <v>36</v>
      </c>
      <c r="C17" s="1"/>
      <c r="D17" s="1"/>
      <c r="E17" s="1"/>
    </row>
    <row r="18" spans="2:6" ht="20.25" x14ac:dyDescent="0.3">
      <c r="B18" s="133" t="s">
        <v>37</v>
      </c>
      <c r="C18" s="134"/>
      <c r="D18" s="137" t="s">
        <v>38</v>
      </c>
      <c r="E18" s="138"/>
      <c r="F18" s="139"/>
    </row>
    <row r="19" spans="2:6" ht="15.75" x14ac:dyDescent="0.25">
      <c r="B19" s="135"/>
      <c r="C19" s="136"/>
      <c r="D19" s="140" t="s">
        <v>360</v>
      </c>
      <c r="E19" s="141"/>
      <c r="F19" s="77" t="s">
        <v>359</v>
      </c>
    </row>
    <row r="20" spans="2:6" ht="23.25" x14ac:dyDescent="0.3">
      <c r="B20" s="125" t="s">
        <v>39</v>
      </c>
      <c r="C20" s="125"/>
      <c r="D20" s="126">
        <v>3</v>
      </c>
      <c r="E20" s="126"/>
      <c r="F20" s="78"/>
    </row>
    <row r="21" spans="2:6" ht="23.25" x14ac:dyDescent="0.3">
      <c r="B21" s="125" t="s">
        <v>40</v>
      </c>
      <c r="C21" s="125"/>
      <c r="D21" s="126">
        <v>2</v>
      </c>
      <c r="E21" s="126"/>
      <c r="F21" s="78"/>
    </row>
    <row r="22" spans="2:6" ht="23.25" x14ac:dyDescent="0.3">
      <c r="B22" s="125" t="s">
        <v>41</v>
      </c>
      <c r="C22" s="125"/>
      <c r="D22" s="126">
        <v>1</v>
      </c>
      <c r="E22" s="126"/>
      <c r="F22" s="78"/>
    </row>
    <row r="23" spans="2:6" ht="23.25" x14ac:dyDescent="0.3">
      <c r="B23" s="125" t="s">
        <v>42</v>
      </c>
      <c r="C23" s="125"/>
      <c r="D23" s="126">
        <v>3</v>
      </c>
      <c r="E23" s="126"/>
      <c r="F23" s="78"/>
    </row>
    <row r="24" spans="2:6" ht="23.25" x14ac:dyDescent="0.3">
      <c r="B24" s="127" t="s">
        <v>93</v>
      </c>
      <c r="C24" s="128"/>
      <c r="D24" s="129">
        <v>2</v>
      </c>
      <c r="E24" s="130"/>
      <c r="F24" s="78"/>
    </row>
    <row r="25" spans="2:6" ht="20.25" x14ac:dyDescent="0.3">
      <c r="B25" s="131"/>
      <c r="C25" s="131"/>
      <c r="D25" s="132">
        <f>SUM(D20:D24)</f>
        <v>11</v>
      </c>
      <c r="E25" s="132"/>
      <c r="F25" s="79">
        <f>SUM(F20:F24)</f>
        <v>0</v>
      </c>
    </row>
    <row r="26" spans="2:6" ht="20.25" x14ac:dyDescent="0.3">
      <c r="B26" s="123" t="s">
        <v>43</v>
      </c>
      <c r="C26" s="123"/>
      <c r="D26" s="124">
        <v>11</v>
      </c>
      <c r="E26" s="124"/>
      <c r="F26" s="124"/>
    </row>
  </sheetData>
  <mergeCells count="22">
    <mergeCell ref="B18:C19"/>
    <mergeCell ref="D18:F18"/>
    <mergeCell ref="D19:E19"/>
    <mergeCell ref="A1:L1"/>
    <mergeCell ref="A2:L2"/>
    <mergeCell ref="B3:I3"/>
    <mergeCell ref="J3:K3"/>
    <mergeCell ref="A3:A4"/>
    <mergeCell ref="B20:C20"/>
    <mergeCell ref="D20:E20"/>
    <mergeCell ref="B21:C21"/>
    <mergeCell ref="D21:E21"/>
    <mergeCell ref="B22:C22"/>
    <mergeCell ref="D22:E22"/>
    <mergeCell ref="B26:C26"/>
    <mergeCell ref="D26:F26"/>
    <mergeCell ref="B23:C23"/>
    <mergeCell ref="D23:E23"/>
    <mergeCell ref="B24:C24"/>
    <mergeCell ref="D24:E24"/>
    <mergeCell ref="B25:C25"/>
    <mergeCell ref="D25:E25"/>
  </mergeCells>
  <pageMargins left="0.62" right="0.39" top="0.75" bottom="0.75" header="0.33" footer="0.3"/>
  <pageSetup paperSize="256" scale="78" fitToWidth="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0"/>
  <sheetViews>
    <sheetView view="pageBreakPreview" zoomScale="60" zoomScaleNormal="60" workbookViewId="0">
      <selection activeCell="H76" sqref="H76"/>
    </sheetView>
  </sheetViews>
  <sheetFormatPr defaultRowHeight="15" x14ac:dyDescent="0.25"/>
  <cols>
    <col min="1" max="1" width="5.7109375" customWidth="1"/>
    <col min="2" max="2" width="19.85546875" customWidth="1"/>
    <col min="3" max="3" width="14" customWidth="1"/>
    <col min="4" max="4" width="12.85546875" customWidth="1"/>
    <col min="5" max="5" width="21.140625" customWidth="1"/>
    <col min="6" max="6" width="16.42578125" customWidth="1"/>
    <col min="7" max="7" width="18.7109375" customWidth="1"/>
    <col min="8" max="8" width="5.7109375" customWidth="1"/>
    <col min="9" max="9" width="6.28515625" customWidth="1"/>
    <col min="10" max="10" width="14.5703125" customWidth="1"/>
    <col min="11" max="11" width="13.28515625" customWidth="1"/>
    <col min="12" max="12" width="13.5703125" customWidth="1"/>
    <col min="13" max="13" width="14.28515625" customWidth="1"/>
    <col min="14" max="14" width="8" customWidth="1"/>
    <col min="15" max="15" width="13.140625" customWidth="1"/>
    <col min="16" max="16" width="31" customWidth="1"/>
    <col min="17" max="18" width="15.85546875" customWidth="1"/>
    <col min="19" max="19" width="14.85546875" customWidth="1"/>
    <col min="20" max="20" width="13" customWidth="1"/>
    <col min="21" max="21" width="19.140625" customWidth="1"/>
  </cols>
  <sheetData>
    <row r="1" spans="1:21" s="25" customFormat="1" ht="25.5" customHeight="1" x14ac:dyDescent="0.35">
      <c r="A1" s="98" t="s">
        <v>362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s="80" customFormat="1" ht="39.75" customHeight="1" x14ac:dyDescent="0.35">
      <c r="A2" s="145" t="s">
        <v>358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</row>
    <row r="3" spans="1:21" s="1" customFormat="1" ht="25.5" customHeight="1" x14ac:dyDescent="0.25">
      <c r="A3" s="146"/>
      <c r="B3" s="146"/>
      <c r="C3" s="146"/>
      <c r="D3" s="146"/>
      <c r="E3" s="146"/>
    </row>
    <row r="4" spans="1:21" s="1" customFormat="1" ht="15.75" customHeight="1" x14ac:dyDescent="0.25">
      <c r="A4" s="147" t="s">
        <v>1</v>
      </c>
      <c r="B4" s="147" t="s">
        <v>2</v>
      </c>
      <c r="C4" s="147" t="s">
        <v>3</v>
      </c>
      <c r="D4" s="147" t="s">
        <v>4</v>
      </c>
      <c r="E4" s="149" t="s">
        <v>5</v>
      </c>
      <c r="F4" s="150"/>
      <c r="G4" s="150"/>
      <c r="H4" s="150"/>
      <c r="I4" s="150"/>
      <c r="J4" s="151"/>
      <c r="K4" s="149" t="s">
        <v>6</v>
      </c>
      <c r="L4" s="150"/>
      <c r="M4" s="150"/>
      <c r="N4" s="150"/>
      <c r="O4" s="151"/>
      <c r="P4" s="44" t="s">
        <v>7</v>
      </c>
      <c r="Q4" s="149" t="s">
        <v>8</v>
      </c>
      <c r="R4" s="150"/>
      <c r="S4" s="150"/>
      <c r="T4" s="151"/>
      <c r="U4" s="44" t="s">
        <v>9</v>
      </c>
    </row>
    <row r="5" spans="1:21" s="1" customFormat="1" ht="57.75" customHeight="1" x14ac:dyDescent="0.25">
      <c r="A5" s="148"/>
      <c r="B5" s="148"/>
      <c r="C5" s="148"/>
      <c r="D5" s="148"/>
      <c r="E5" s="28" t="s">
        <v>13</v>
      </c>
      <c r="F5" s="28" t="s">
        <v>14</v>
      </c>
      <c r="G5" s="28" t="s">
        <v>15</v>
      </c>
      <c r="H5" s="2" t="s">
        <v>16</v>
      </c>
      <c r="I5" s="24" t="s">
        <v>17</v>
      </c>
      <c r="J5" s="2" t="s">
        <v>18</v>
      </c>
      <c r="K5" s="28" t="s">
        <v>19</v>
      </c>
      <c r="L5" s="28" t="s">
        <v>20</v>
      </c>
      <c r="M5" s="28" t="s">
        <v>21</v>
      </c>
      <c r="N5" s="28" t="s">
        <v>16</v>
      </c>
      <c r="O5" s="28" t="s">
        <v>22</v>
      </c>
      <c r="P5" s="28" t="s">
        <v>23</v>
      </c>
      <c r="Q5" s="28" t="s">
        <v>24</v>
      </c>
      <c r="R5" s="28" t="s">
        <v>25</v>
      </c>
      <c r="S5" s="28" t="s">
        <v>26</v>
      </c>
      <c r="T5" s="28" t="s">
        <v>27</v>
      </c>
      <c r="U5" s="28" t="s">
        <v>28</v>
      </c>
    </row>
    <row r="6" spans="1:21" s="1" customFormat="1" ht="63" x14ac:dyDescent="0.25">
      <c r="A6" s="28">
        <v>1</v>
      </c>
      <c r="B6" s="22" t="s">
        <v>168</v>
      </c>
      <c r="C6" s="28" t="s">
        <v>169</v>
      </c>
      <c r="D6" s="28" t="s">
        <v>170</v>
      </c>
      <c r="E6" s="12" t="s">
        <v>205</v>
      </c>
      <c r="F6" s="28" t="s">
        <v>230</v>
      </c>
      <c r="G6" s="28" t="s">
        <v>193</v>
      </c>
      <c r="H6" s="2"/>
      <c r="I6" s="28"/>
      <c r="J6" s="28" t="s">
        <v>107</v>
      </c>
      <c r="K6" s="7" t="s">
        <v>280</v>
      </c>
      <c r="L6" s="7" t="s">
        <v>280</v>
      </c>
      <c r="M6" s="7" t="s">
        <v>280</v>
      </c>
      <c r="N6" s="7"/>
      <c r="O6" s="28" t="s">
        <v>127</v>
      </c>
      <c r="P6" s="8" t="s">
        <v>212</v>
      </c>
      <c r="Q6" s="12" t="s">
        <v>180</v>
      </c>
      <c r="R6" s="28" t="s">
        <v>233</v>
      </c>
      <c r="S6" s="7" t="s">
        <v>186</v>
      </c>
      <c r="T6" s="28" t="s">
        <v>120</v>
      </c>
      <c r="U6" s="7" t="s">
        <v>183</v>
      </c>
    </row>
    <row r="7" spans="1:21" s="1" customFormat="1" ht="63" x14ac:dyDescent="0.25">
      <c r="A7" s="28">
        <v>2</v>
      </c>
      <c r="B7" s="22" t="s">
        <v>171</v>
      </c>
      <c r="C7" s="28" t="s">
        <v>155</v>
      </c>
      <c r="D7" s="28" t="s">
        <v>172</v>
      </c>
      <c r="E7" s="12" t="s">
        <v>207</v>
      </c>
      <c r="F7" s="28" t="s">
        <v>231</v>
      </c>
      <c r="G7" s="28" t="s">
        <v>231</v>
      </c>
      <c r="H7" s="2"/>
      <c r="I7" s="28"/>
      <c r="J7" s="28" t="s">
        <v>107</v>
      </c>
      <c r="K7" s="7" t="s">
        <v>301</v>
      </c>
      <c r="L7" s="7" t="s">
        <v>302</v>
      </c>
      <c r="M7" s="7" t="s">
        <v>303</v>
      </c>
      <c r="N7" s="2"/>
      <c r="O7" s="28" t="s">
        <v>304</v>
      </c>
      <c r="P7" s="8" t="s">
        <v>213</v>
      </c>
      <c r="Q7" s="12" t="s">
        <v>184</v>
      </c>
      <c r="R7" s="7" t="s">
        <v>192</v>
      </c>
      <c r="S7" s="7" t="s">
        <v>191</v>
      </c>
      <c r="T7" s="28" t="s">
        <v>120</v>
      </c>
      <c r="U7" s="7" t="s">
        <v>182</v>
      </c>
    </row>
    <row r="8" spans="1:21" s="1" customFormat="1" ht="47.25" x14ac:dyDescent="0.25">
      <c r="A8" s="28">
        <v>3</v>
      </c>
      <c r="B8" s="22" t="s">
        <v>218</v>
      </c>
      <c r="C8" s="28" t="s">
        <v>219</v>
      </c>
      <c r="D8" s="28" t="s">
        <v>223</v>
      </c>
      <c r="E8" s="12" t="s">
        <v>229</v>
      </c>
      <c r="F8" s="7" t="s">
        <v>186</v>
      </c>
      <c r="G8" s="7" t="s">
        <v>186</v>
      </c>
      <c r="H8" s="2"/>
      <c r="I8" s="28"/>
      <c r="J8" s="28" t="s">
        <v>107</v>
      </c>
      <c r="K8" s="7" t="s">
        <v>186</v>
      </c>
      <c r="L8" s="7" t="s">
        <v>186</v>
      </c>
      <c r="M8" s="7" t="s">
        <v>186</v>
      </c>
      <c r="N8" s="2"/>
      <c r="O8" s="28"/>
      <c r="P8" s="8" t="s">
        <v>220</v>
      </c>
      <c r="Q8" s="7" t="s">
        <v>281</v>
      </c>
      <c r="R8" s="7" t="s">
        <v>288</v>
      </c>
      <c r="S8" s="7" t="s">
        <v>186</v>
      </c>
      <c r="T8" s="28" t="s">
        <v>120</v>
      </c>
      <c r="U8" s="7" t="s">
        <v>234</v>
      </c>
    </row>
    <row r="9" spans="1:21" s="1" customFormat="1" ht="47.25" x14ac:dyDescent="0.25">
      <c r="A9" s="28">
        <v>4</v>
      </c>
      <c r="B9" s="22" t="s">
        <v>290</v>
      </c>
      <c r="C9" s="28" t="s">
        <v>219</v>
      </c>
      <c r="D9" s="8" t="s">
        <v>292</v>
      </c>
      <c r="E9" s="12" t="s">
        <v>309</v>
      </c>
      <c r="F9" s="7" t="s">
        <v>186</v>
      </c>
      <c r="G9" s="7" t="s">
        <v>186</v>
      </c>
      <c r="H9" s="2"/>
      <c r="I9" s="28"/>
      <c r="J9" s="28" t="s">
        <v>107</v>
      </c>
      <c r="K9" s="7" t="s">
        <v>186</v>
      </c>
      <c r="L9" s="7" t="s">
        <v>186</v>
      </c>
      <c r="M9" s="7" t="s">
        <v>186</v>
      </c>
      <c r="N9" s="2"/>
      <c r="O9" s="28"/>
      <c r="P9" s="8" t="s">
        <v>291</v>
      </c>
      <c r="Q9" s="7" t="s">
        <v>314</v>
      </c>
      <c r="R9" s="7" t="s">
        <v>186</v>
      </c>
      <c r="S9" s="7" t="s">
        <v>186</v>
      </c>
      <c r="T9" s="28" t="s">
        <v>120</v>
      </c>
      <c r="U9" s="7" t="s">
        <v>347</v>
      </c>
    </row>
    <row r="11" spans="1:21" ht="15.75" x14ac:dyDescent="0.25">
      <c r="A11" s="18" t="s">
        <v>36</v>
      </c>
      <c r="B11" s="1"/>
      <c r="C11" s="1"/>
      <c r="D11" s="1"/>
    </row>
    <row r="12" spans="1:21" ht="20.25" x14ac:dyDescent="0.3">
      <c r="A12" s="133" t="s">
        <v>37</v>
      </c>
      <c r="B12" s="134"/>
      <c r="C12" s="137" t="s">
        <v>38</v>
      </c>
      <c r="D12" s="138"/>
      <c r="E12" s="139"/>
    </row>
    <row r="13" spans="1:21" ht="15.75" x14ac:dyDescent="0.25">
      <c r="A13" s="135"/>
      <c r="B13" s="136"/>
      <c r="C13" s="140" t="s">
        <v>360</v>
      </c>
      <c r="D13" s="141"/>
      <c r="E13" s="77" t="s">
        <v>359</v>
      </c>
    </row>
    <row r="14" spans="1:21" ht="23.25" x14ac:dyDescent="0.3">
      <c r="A14" s="125" t="s">
        <v>39</v>
      </c>
      <c r="B14" s="125"/>
      <c r="C14" s="126">
        <v>1</v>
      </c>
      <c r="D14" s="126"/>
      <c r="E14" s="78"/>
    </row>
    <row r="15" spans="1:21" ht="23.25" x14ac:dyDescent="0.3">
      <c r="A15" s="125" t="s">
        <v>40</v>
      </c>
      <c r="B15" s="125"/>
      <c r="C15" s="126">
        <v>0</v>
      </c>
      <c r="D15" s="126"/>
      <c r="E15" s="78"/>
    </row>
    <row r="16" spans="1:21" ht="23.25" x14ac:dyDescent="0.3">
      <c r="A16" s="125" t="s">
        <v>41</v>
      </c>
      <c r="B16" s="125"/>
      <c r="C16" s="126">
        <v>1</v>
      </c>
      <c r="D16" s="126"/>
      <c r="E16" s="78"/>
    </row>
    <row r="17" spans="1:5" ht="23.25" x14ac:dyDescent="0.3">
      <c r="A17" s="125" t="s">
        <v>42</v>
      </c>
      <c r="B17" s="125"/>
      <c r="C17" s="126">
        <v>2</v>
      </c>
      <c r="D17" s="126"/>
      <c r="E17" s="78"/>
    </row>
    <row r="18" spans="1:5" ht="23.25" x14ac:dyDescent="0.3">
      <c r="A18" s="127" t="s">
        <v>93</v>
      </c>
      <c r="B18" s="128"/>
      <c r="C18" s="129">
        <v>0</v>
      </c>
      <c r="D18" s="130"/>
      <c r="E18" s="78"/>
    </row>
    <row r="19" spans="1:5" ht="20.25" x14ac:dyDescent="0.3">
      <c r="A19" s="143"/>
      <c r="B19" s="144"/>
      <c r="C19" s="132">
        <v>4</v>
      </c>
      <c r="D19" s="132"/>
      <c r="E19" s="79"/>
    </row>
    <row r="20" spans="1:5" ht="20.25" x14ac:dyDescent="0.3">
      <c r="A20" s="123" t="s">
        <v>43</v>
      </c>
      <c r="B20" s="123"/>
      <c r="C20" s="124">
        <v>4</v>
      </c>
      <c r="D20" s="124"/>
      <c r="E20" s="124"/>
    </row>
  </sheetData>
  <mergeCells count="27">
    <mergeCell ref="A12:B13"/>
    <mergeCell ref="C12:E12"/>
    <mergeCell ref="C13:D13"/>
    <mergeCell ref="A1:U1"/>
    <mergeCell ref="A2:U2"/>
    <mergeCell ref="A3:E3"/>
    <mergeCell ref="A4:A5"/>
    <mergeCell ref="B4:B5"/>
    <mergeCell ref="C4:C5"/>
    <mergeCell ref="D4:D5"/>
    <mergeCell ref="E4:J4"/>
    <mergeCell ref="K4:O4"/>
    <mergeCell ref="Q4:T4"/>
    <mergeCell ref="A14:B14"/>
    <mergeCell ref="C14:D14"/>
    <mergeCell ref="A15:B15"/>
    <mergeCell ref="C15:D15"/>
    <mergeCell ref="A16:B16"/>
    <mergeCell ref="C16:D16"/>
    <mergeCell ref="A20:B20"/>
    <mergeCell ref="C20:E20"/>
    <mergeCell ref="A17:B17"/>
    <mergeCell ref="C17:D17"/>
    <mergeCell ref="A18:B18"/>
    <mergeCell ref="C18:D18"/>
    <mergeCell ref="A19:B19"/>
    <mergeCell ref="C19:D19"/>
  </mergeCells>
  <pageMargins left="0.12" right="0.12" top="0.75" bottom="0.75" header="0.3" footer="0.3"/>
  <pageSetup paperSize="256" scale="5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9"/>
  <sheetViews>
    <sheetView view="pageBreakPreview" zoomScale="60" zoomScaleNormal="50" workbookViewId="0">
      <selection activeCell="H76" sqref="H76"/>
    </sheetView>
  </sheetViews>
  <sheetFormatPr defaultRowHeight="15" x14ac:dyDescent="0.25"/>
  <cols>
    <col min="1" max="1" width="6.28515625" customWidth="1"/>
    <col min="2" max="2" width="15.7109375" customWidth="1"/>
    <col min="3" max="3" width="12.140625" customWidth="1"/>
    <col min="4" max="4" width="11" customWidth="1"/>
    <col min="5" max="5" width="17.42578125" customWidth="1"/>
    <col min="6" max="7" width="15.140625" customWidth="1"/>
    <col min="16" max="16" width="17.85546875" customWidth="1"/>
    <col min="17" max="17" width="15.42578125" customWidth="1"/>
    <col min="21" max="21" width="13.5703125" customWidth="1"/>
    <col min="22" max="22" width="17.5703125" customWidth="1"/>
  </cols>
  <sheetData>
    <row r="1" spans="1:24" s="25" customFormat="1" ht="25.5" customHeight="1" x14ac:dyDescent="0.35">
      <c r="A1" s="98" t="s">
        <v>361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</row>
    <row r="2" spans="1:24" s="25" customFormat="1" ht="25.5" customHeight="1" x14ac:dyDescent="0.35">
      <c r="A2" s="153" t="s">
        <v>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</row>
    <row r="3" spans="1:24" s="1" customFormat="1" ht="25.5" customHeight="1" x14ac:dyDescent="0.25">
      <c r="A3" s="113" t="s">
        <v>1</v>
      </c>
      <c r="B3" s="147" t="s">
        <v>2</v>
      </c>
      <c r="C3" s="113" t="s">
        <v>3</v>
      </c>
      <c r="D3" s="113" t="s">
        <v>4</v>
      </c>
      <c r="E3" s="113" t="s">
        <v>5</v>
      </c>
      <c r="F3" s="113"/>
      <c r="G3" s="113"/>
      <c r="H3" s="113"/>
      <c r="I3" s="113"/>
      <c r="J3" s="113"/>
      <c r="K3" s="113" t="s">
        <v>6</v>
      </c>
      <c r="L3" s="113"/>
      <c r="M3" s="113"/>
      <c r="N3" s="113"/>
      <c r="O3" s="113"/>
      <c r="P3" s="44" t="s">
        <v>7</v>
      </c>
      <c r="Q3" s="113" t="s">
        <v>8</v>
      </c>
      <c r="R3" s="113"/>
      <c r="S3" s="113"/>
      <c r="T3" s="113"/>
      <c r="U3" s="44" t="s">
        <v>9</v>
      </c>
      <c r="V3" s="113" t="s">
        <v>10</v>
      </c>
      <c r="W3" s="113" t="s">
        <v>11</v>
      </c>
      <c r="X3" s="152" t="s">
        <v>12</v>
      </c>
    </row>
    <row r="4" spans="1:24" s="1" customFormat="1" ht="39" customHeight="1" x14ac:dyDescent="0.25">
      <c r="A4" s="113"/>
      <c r="B4" s="148"/>
      <c r="C4" s="113"/>
      <c r="D4" s="113"/>
      <c r="E4" s="28" t="s">
        <v>13</v>
      </c>
      <c r="F4" s="28" t="s">
        <v>14</v>
      </c>
      <c r="G4" s="28" t="s">
        <v>15</v>
      </c>
      <c r="H4" s="2" t="s">
        <v>16</v>
      </c>
      <c r="I4" s="24" t="s">
        <v>17</v>
      </c>
      <c r="J4" s="2" t="s">
        <v>18</v>
      </c>
      <c r="K4" s="28" t="s">
        <v>19</v>
      </c>
      <c r="L4" s="28" t="s">
        <v>20</v>
      </c>
      <c r="M4" s="28" t="s">
        <v>21</v>
      </c>
      <c r="N4" s="28" t="s">
        <v>16</v>
      </c>
      <c r="O4" s="28" t="s">
        <v>22</v>
      </c>
      <c r="P4" s="28" t="s">
        <v>23</v>
      </c>
      <c r="Q4" s="28" t="s">
        <v>24</v>
      </c>
      <c r="R4" s="28" t="s">
        <v>25</v>
      </c>
      <c r="S4" s="28" t="s">
        <v>26</v>
      </c>
      <c r="T4" s="28" t="s">
        <v>27</v>
      </c>
      <c r="U4" s="28" t="s">
        <v>28</v>
      </c>
      <c r="V4" s="113"/>
      <c r="W4" s="113"/>
      <c r="X4" s="152"/>
    </row>
    <row r="5" spans="1:24" s="1" customFormat="1" ht="126" x14ac:dyDescent="0.25">
      <c r="A5" s="28">
        <v>1</v>
      </c>
      <c r="B5" s="8" t="s">
        <v>29</v>
      </c>
      <c r="C5" s="7" t="s">
        <v>30</v>
      </c>
      <c r="D5" s="28" t="s">
        <v>31</v>
      </c>
      <c r="E5" s="28" t="s">
        <v>206</v>
      </c>
      <c r="F5" s="28" t="s">
        <v>195</v>
      </c>
      <c r="G5" s="28" t="s">
        <v>196</v>
      </c>
      <c r="H5" s="44"/>
      <c r="I5" s="21" t="s">
        <v>345</v>
      </c>
      <c r="J5" s="21"/>
      <c r="K5" s="12" t="s">
        <v>122</v>
      </c>
      <c r="L5" s="12" t="s">
        <v>123</v>
      </c>
      <c r="M5" s="12" t="s">
        <v>124</v>
      </c>
      <c r="N5" s="12"/>
      <c r="O5" s="19" t="s">
        <v>121</v>
      </c>
      <c r="P5" s="12" t="s">
        <v>208</v>
      </c>
      <c r="Q5" s="20" t="s">
        <v>166</v>
      </c>
      <c r="R5" s="28" t="s">
        <v>116</v>
      </c>
      <c r="S5" s="19" t="s">
        <v>121</v>
      </c>
      <c r="T5" s="28" t="s">
        <v>158</v>
      </c>
      <c r="U5" s="28"/>
      <c r="V5" s="28" t="s">
        <v>32</v>
      </c>
      <c r="W5" s="4"/>
      <c r="X5" s="5"/>
    </row>
    <row r="6" spans="1:24" s="1" customFormat="1" ht="94.5" x14ac:dyDescent="0.25">
      <c r="A6" s="28">
        <v>2</v>
      </c>
      <c r="B6" s="22" t="s">
        <v>98</v>
      </c>
      <c r="C6" s="28" t="s">
        <v>34</v>
      </c>
      <c r="D6" s="28" t="s">
        <v>100</v>
      </c>
      <c r="E6" s="12" t="s">
        <v>197</v>
      </c>
      <c r="F6" s="28" t="s">
        <v>199</v>
      </c>
      <c r="G6" s="28" t="s">
        <v>200</v>
      </c>
      <c r="H6" s="2"/>
      <c r="I6" s="21" t="s">
        <v>154</v>
      </c>
      <c r="J6" s="28" t="s">
        <v>107</v>
      </c>
      <c r="K6" s="28" t="s">
        <v>297</v>
      </c>
      <c r="L6" s="28" t="s">
        <v>126</v>
      </c>
      <c r="M6" s="7" t="s">
        <v>125</v>
      </c>
      <c r="N6" s="2"/>
      <c r="O6" s="28" t="s">
        <v>296</v>
      </c>
      <c r="P6" s="8" t="s">
        <v>209</v>
      </c>
      <c r="Q6" s="28" t="s">
        <v>310</v>
      </c>
      <c r="R6" s="28" t="s">
        <v>128</v>
      </c>
      <c r="S6" s="28" t="s">
        <v>157</v>
      </c>
      <c r="T6" s="28" t="s">
        <v>117</v>
      </c>
      <c r="U6" s="7" t="s">
        <v>113</v>
      </c>
      <c r="V6" s="2"/>
      <c r="W6" s="2"/>
      <c r="X6" s="2"/>
    </row>
    <row r="7" spans="1:24" s="1" customFormat="1" ht="126" x14ac:dyDescent="0.25">
      <c r="A7" s="28">
        <v>3</v>
      </c>
      <c r="B7" s="22" t="s">
        <v>99</v>
      </c>
      <c r="C7" s="28" t="s">
        <v>34</v>
      </c>
      <c r="D7" s="28" t="s">
        <v>100</v>
      </c>
      <c r="E7" s="12" t="s">
        <v>198</v>
      </c>
      <c r="F7" s="28" t="s">
        <v>201</v>
      </c>
      <c r="G7" s="28" t="s">
        <v>202</v>
      </c>
      <c r="H7" s="2"/>
      <c r="I7" s="21" t="s">
        <v>346</v>
      </c>
      <c r="J7" s="28" t="s">
        <v>107</v>
      </c>
      <c r="K7" s="28" t="s">
        <v>298</v>
      </c>
      <c r="L7" s="28" t="s">
        <v>299</v>
      </c>
      <c r="M7" s="28" t="s">
        <v>300</v>
      </c>
      <c r="N7" s="2"/>
      <c r="O7" s="28" t="s">
        <v>296</v>
      </c>
      <c r="P7" s="8" t="s">
        <v>210</v>
      </c>
      <c r="Q7" s="28" t="s">
        <v>311</v>
      </c>
      <c r="R7" s="28" t="s">
        <v>128</v>
      </c>
      <c r="S7" s="28" t="s">
        <v>157</v>
      </c>
      <c r="T7" s="28" t="s">
        <v>159</v>
      </c>
      <c r="U7" s="7" t="s">
        <v>113</v>
      </c>
      <c r="V7" s="2"/>
      <c r="W7" s="2"/>
      <c r="X7" s="2"/>
    </row>
    <row r="8" spans="1:24" s="1" customFormat="1" ht="173.25" x14ac:dyDescent="0.25">
      <c r="A8" s="28">
        <v>4</v>
      </c>
      <c r="B8" s="22" t="s">
        <v>105</v>
      </c>
      <c r="C8" s="28" t="s">
        <v>80</v>
      </c>
      <c r="D8" s="28" t="s">
        <v>106</v>
      </c>
      <c r="E8" s="12" t="s">
        <v>194</v>
      </c>
      <c r="F8" s="28" t="s">
        <v>203</v>
      </c>
      <c r="G8" s="28" t="s">
        <v>204</v>
      </c>
      <c r="H8" s="2"/>
      <c r="I8" s="21" t="s">
        <v>154</v>
      </c>
      <c r="J8" s="28" t="s">
        <v>107</v>
      </c>
      <c r="K8" s="28" t="s">
        <v>141</v>
      </c>
      <c r="L8" s="28" t="s">
        <v>141</v>
      </c>
      <c r="M8" s="28" t="s">
        <v>141</v>
      </c>
      <c r="N8" s="2"/>
      <c r="O8" s="28" t="s">
        <v>127</v>
      </c>
      <c r="P8" s="8" t="s">
        <v>211</v>
      </c>
      <c r="Q8" s="28" t="s">
        <v>167</v>
      </c>
      <c r="R8" s="28" t="s">
        <v>214</v>
      </c>
      <c r="S8" s="28" t="s">
        <v>127</v>
      </c>
      <c r="T8" s="28" t="s">
        <v>120</v>
      </c>
      <c r="U8" s="7"/>
      <c r="V8" s="28" t="s">
        <v>110</v>
      </c>
      <c r="W8" s="2"/>
      <c r="X8" s="2"/>
    </row>
    <row r="10" spans="1:24" ht="15.75" x14ac:dyDescent="0.25">
      <c r="A10" s="18" t="s">
        <v>36</v>
      </c>
      <c r="B10" s="1"/>
      <c r="C10" s="1"/>
      <c r="D10" s="1"/>
    </row>
    <row r="11" spans="1:24" ht="20.25" x14ac:dyDescent="0.3">
      <c r="A11" s="133" t="s">
        <v>37</v>
      </c>
      <c r="B11" s="134"/>
      <c r="C11" s="137" t="s">
        <v>38</v>
      </c>
      <c r="D11" s="138"/>
      <c r="E11" s="139"/>
    </row>
    <row r="12" spans="1:24" ht="15.75" x14ac:dyDescent="0.25">
      <c r="A12" s="135"/>
      <c r="B12" s="136"/>
      <c r="C12" s="140" t="s">
        <v>360</v>
      </c>
      <c r="D12" s="141"/>
      <c r="E12" s="77" t="s">
        <v>359</v>
      </c>
    </row>
    <row r="13" spans="1:24" ht="23.25" x14ac:dyDescent="0.3">
      <c r="A13" s="125" t="s">
        <v>39</v>
      </c>
      <c r="B13" s="125"/>
      <c r="C13" s="126">
        <v>0</v>
      </c>
      <c r="D13" s="126"/>
      <c r="E13" s="78"/>
    </row>
    <row r="14" spans="1:24" ht="23.25" x14ac:dyDescent="0.3">
      <c r="A14" s="125" t="s">
        <v>40</v>
      </c>
      <c r="B14" s="125"/>
      <c r="C14" s="126">
        <v>0</v>
      </c>
      <c r="D14" s="126"/>
      <c r="E14" s="78"/>
    </row>
    <row r="15" spans="1:24" ht="23.25" x14ac:dyDescent="0.3">
      <c r="A15" s="125" t="s">
        <v>41</v>
      </c>
      <c r="B15" s="125"/>
      <c r="C15" s="126">
        <v>1</v>
      </c>
      <c r="D15" s="126"/>
      <c r="E15" s="78">
        <v>1</v>
      </c>
    </row>
    <row r="16" spans="1:24" ht="23.25" x14ac:dyDescent="0.3">
      <c r="A16" s="125" t="s">
        <v>42</v>
      </c>
      <c r="B16" s="125"/>
      <c r="C16" s="126">
        <v>0</v>
      </c>
      <c r="D16" s="126"/>
      <c r="E16" s="78">
        <v>1</v>
      </c>
    </row>
    <row r="17" spans="1:5" ht="23.25" x14ac:dyDescent="0.3">
      <c r="A17" s="127" t="s">
        <v>93</v>
      </c>
      <c r="B17" s="128"/>
      <c r="C17" s="129">
        <v>1</v>
      </c>
      <c r="D17" s="130"/>
      <c r="E17" s="78"/>
    </row>
    <row r="18" spans="1:5" ht="20.25" x14ac:dyDescent="0.3">
      <c r="A18" s="143"/>
      <c r="B18" s="144"/>
      <c r="C18" s="132">
        <f>SUM(C13:C17)</f>
        <v>2</v>
      </c>
      <c r="D18" s="132"/>
      <c r="E18" s="79">
        <f>SUM(E13:E17)</f>
        <v>2</v>
      </c>
    </row>
    <row r="19" spans="1:5" ht="20.25" x14ac:dyDescent="0.3">
      <c r="A19" s="123" t="s">
        <v>43</v>
      </c>
      <c r="B19" s="123"/>
      <c r="C19" s="124">
        <v>4</v>
      </c>
      <c r="D19" s="124"/>
      <c r="E19" s="124"/>
    </row>
  </sheetData>
  <mergeCells count="29">
    <mergeCell ref="A17:B17"/>
    <mergeCell ref="C17:D17"/>
    <mergeCell ref="A13:B13"/>
    <mergeCell ref="C13:D13"/>
    <mergeCell ref="A14:B14"/>
    <mergeCell ref="C14:D14"/>
    <mergeCell ref="C19:E19"/>
    <mergeCell ref="A18:B18"/>
    <mergeCell ref="A2:W2"/>
    <mergeCell ref="A1:X1"/>
    <mergeCell ref="A3:A4"/>
    <mergeCell ref="B3:B4"/>
    <mergeCell ref="C3:C4"/>
    <mergeCell ref="A19:B19"/>
    <mergeCell ref="C18:D18"/>
    <mergeCell ref="A11:B12"/>
    <mergeCell ref="C11:E11"/>
    <mergeCell ref="C12:D12"/>
    <mergeCell ref="A15:B15"/>
    <mergeCell ref="C15:D15"/>
    <mergeCell ref="A16:B16"/>
    <mergeCell ref="C16:D16"/>
    <mergeCell ref="X3:X4"/>
    <mergeCell ref="D3:D4"/>
    <mergeCell ref="E3:J3"/>
    <mergeCell ref="K3:O3"/>
    <mergeCell ref="Q3:T3"/>
    <mergeCell ref="V3:V4"/>
    <mergeCell ref="W3:W4"/>
  </mergeCells>
  <printOptions horizontalCentered="1"/>
  <pageMargins left="0.21" right="0.12" top="0.75" bottom="0.75" header="0.3" footer="0.3"/>
  <pageSetup paperSize="256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WIPO 2026</vt:lpstr>
      <vt:lpstr>List</vt:lpstr>
      <vt:lpstr>K</vt:lpstr>
      <vt:lpstr>W</vt:lpstr>
      <vt:lpstr>Sheet1</vt:lpstr>
      <vt:lpstr>wipo 1st sem</vt:lpstr>
      <vt:lpstr>kipo 1st sem</vt:lpstr>
      <vt:lpstr>posthumous promotion</vt:lpstr>
      <vt:lpstr>'WIPO 2026'!Print_Area</vt:lpstr>
      <vt:lpstr>'WIPO 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PCX</dc:creator>
  <cp:lastModifiedBy>Prem 6402</cp:lastModifiedBy>
  <cp:lastPrinted>2026-05-06T00:10:21Z</cp:lastPrinted>
  <dcterms:created xsi:type="dcterms:W3CDTF">2018-02-20T00:38:00Z</dcterms:created>
  <dcterms:modified xsi:type="dcterms:W3CDTF">2026-07-30T00:40:52Z</dcterms:modified>
</cp:coreProperties>
</file>